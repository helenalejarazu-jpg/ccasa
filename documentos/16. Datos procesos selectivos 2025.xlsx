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olors1.xml" ContentType="application/vnd.ms-office.chartcolorstyle+xml"/>
  <Override PartName="/xl/charts/style2.xml" ContentType="application/vnd.ms-office.chartstyle+xml"/>
  <Override PartName="/xl/charts/chart3.xml" ContentType="application/vnd.openxmlformats-officedocument.drawingml.chart+xml"/>
  <Override PartName="/xl/charts/chart2.xml" ContentType="application/vnd.openxmlformats-officedocument.drawingml.chart+xml"/>
  <Override PartName="/xl/charts/colors2.xml" ContentType="application/vnd.ms-office.chartcolorstyle+xml"/>
  <Override PartName="/xl/charts/style3.xml" ContentType="application/vnd.ms-office.chartstyle+xml"/>
  <Override PartName="/xl/charts/style1.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general" sheetId="1" state="visible" r:id="rId3"/>
    <sheet name="2025001" sheetId="2" state="visible" r:id="rId4"/>
    <sheet name="2025002" sheetId="3" state="visible" r:id="rId5"/>
    <sheet name="2025003" sheetId="4" state="visible" r:id="rId6"/>
    <sheet name="2025006" sheetId="5" state="visible" r:id="rId7"/>
    <sheet name="PI-2025007" sheetId="6" state="visible" r:id="rId8"/>
    <sheet name="PI-2025010" sheetId="7" state="visible" r:id="rId9"/>
    <sheet name="PI-2025011" sheetId="8" state="visible" r:id="rId10"/>
    <sheet name="PI-2025012" sheetId="9" state="visible" r:id="rId11"/>
    <sheet name="PI-2025013" sheetId="10" state="visible" r:id="rId12"/>
    <sheet name="Embudo presencia femenina" sheetId="11" state="visible" r:id="rId13"/>
    <sheet name="Selección final por sexo" sheetId="12" state="visible" r:id="rId14"/>
    <sheet name="Metodología y fuente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<sst xmlns="http://schemas.openxmlformats.org/spreadsheetml/2006/main" count="350" uniqueCount="132">
  <si>
    <t xml:space="preserve">Análisis de procesos de selección y promoción interna de CCASA – 2025 (perspectiva de género)</t>
  </si>
  <si>
    <t xml:space="preserve">Código</t>
  </si>
  <si>
    <t xml:space="preserve">Denominación</t>
  </si>
  <si>
    <t xml:space="preserve">Tipo</t>
  </si>
  <si>
    <t xml:space="preserve">Puestos ofertados</t>
  </si>
  <si>
    <t xml:space="preserve">Candidaturas total</t>
  </si>
  <si>
    <t xml:space="preserve">Mujeres</t>
  </si>
  <si>
    <t xml:space="preserve">Hombres</t>
  </si>
  <si>
    <t xml:space="preserve">% Mujeres candidatas</t>
  </si>
  <si>
    <t xml:space="preserve">Aptas fase final</t>
  </si>
  <si>
    <t xml:space="preserve">Mujeres en fase final</t>
  </si>
  <si>
    <t xml:space="preserve">Hombres en fase final</t>
  </si>
  <si>
    <t xml:space="preserve">Personas seleccionadas</t>
  </si>
  <si>
    <t xml:space="preserve">Mujeres seleccionadas</t>
  </si>
  <si>
    <t xml:space="preserve">Hombres seleccionados</t>
  </si>
  <si>
    <t xml:space="preserve">% Mujeres seleccionadas</t>
  </si>
  <si>
    <t xml:space="preserve">2025001</t>
  </si>
  <si>
    <t xml:space="preserve">Técnico/a de Soporte Microinformático (TSM)</t>
  </si>
  <si>
    <t xml:space="preserve">Selección externa</t>
  </si>
  <si>
    <t xml:space="preserve">2025002</t>
  </si>
  <si>
    <t xml:space="preserve">Analista de Sistemas (Perfil Genérico)</t>
  </si>
  <si>
    <t xml:space="preserve">2025003</t>
  </si>
  <si>
    <t xml:space="preserve">Consultor/a SAP</t>
  </si>
  <si>
    <t xml:space="preserve">2025006</t>
  </si>
  <si>
    <t xml:space="preserve">CTAG (Perfil RRHH)</t>
  </si>
  <si>
    <t xml:space="preserve">PI-2025007</t>
  </si>
  <si>
    <t xml:space="preserve">CTAG (Perfil Administración)</t>
  </si>
  <si>
    <t xml:space="preserve">Promoción interna</t>
  </si>
  <si>
    <t xml:space="preserve">—</t>
  </si>
  <si>
    <t xml:space="preserve">PI-2025010</t>
  </si>
  <si>
    <t xml:space="preserve">Responsable de Área (Perfil Producto)</t>
  </si>
  <si>
    <t xml:space="preserve">PI-2025011</t>
  </si>
  <si>
    <t xml:space="preserve">Jefatura de Proyecto (Perfil Mantenimiento)</t>
  </si>
  <si>
    <t xml:space="preserve">s/d</t>
  </si>
  <si>
    <t xml:space="preserve">PI-2025012</t>
  </si>
  <si>
    <t xml:space="preserve">Jefatura de Proyecto (Perfil Estrategia del Dato)</t>
  </si>
  <si>
    <t xml:space="preserve">PI-2025013</t>
  </si>
  <si>
    <t xml:space="preserve">Jefatura de Proyecto (Perfil Unidad Técnica)</t>
  </si>
  <si>
    <t xml:space="preserve">TOTAL</t>
  </si>
  <si>
    <t xml:space="preserve">Notas:</t>
  </si>
  <si>
    <t xml:space="preserve">• 's/d' = sin datos. En los procesos PI-2025011, 12 y 13 los listados de candidaturas y méritos no incluyen marcador de sexo, solo se conoce el sexo de la persona seleccionada por su nombre en la resolución.</t>
  </si>
  <si>
    <t xml:space="preserve">• Para los procesos de promoción interna no aplica el concepto de 'fase 4 — entrevista' del modelo de selección externa; en su lugar, las fases son méritos y entrevista.</t>
  </si>
  <si>
    <t xml:space="preserve">2025001 — Técnico/a de Soporte Microinformático (TSM)</t>
  </si>
  <si>
    <t xml:space="preserve">1. Composición inicial de candidaturas</t>
  </si>
  <si>
    <t xml:space="preserve">Total</t>
  </si>
  <si>
    <t xml:space="preserve">% Mujeres</t>
  </si>
  <si>
    <t xml:space="preserve">Inscritas (lista provisional)</t>
  </si>
  <si>
    <t xml:space="preserve">Admitidas (lista definitiva)</t>
  </si>
  <si>
    <t xml:space="preserve">Aptas en Fase 1 (conocimientos específicos)</t>
  </si>
  <si>
    <t xml:space="preserve">Aptas en Fase 3 (psicometría/conocimientos)</t>
  </si>
  <si>
    <t xml:space="preserve">Llegan a Fase 4 (entrevista)</t>
  </si>
  <si>
    <t xml:space="preserve">Personas seleccionadas (resultado final)</t>
  </si>
  <si>
    <t xml:space="preserve">2. Puntuaciones medias en Fase 2 por sexo</t>
  </si>
  <si>
    <t xml:space="preserve">Apartado</t>
  </si>
  <si>
    <t xml:space="preserve">Media mujeres</t>
  </si>
  <si>
    <t xml:space="preserve">Media hombres</t>
  </si>
  <si>
    <t xml:space="preserve">Diferencia (M-H)</t>
  </si>
  <si>
    <t xml:space="preserve">Titulaciones</t>
  </si>
  <si>
    <t xml:space="preserve">Certificaciones</t>
  </si>
  <si>
    <t xml:space="preserve">Euskera</t>
  </si>
  <si>
    <t xml:space="preserve">Inglés</t>
  </si>
  <si>
    <t xml:space="preserve">Experiencia</t>
  </si>
  <si>
    <t xml:space="preserve">Total fase 2</t>
  </si>
  <si>
    <t xml:space="preserve">3. Resultados individuales en Fase 4 / puntuación final</t>
  </si>
  <si>
    <t xml:space="preserve">Sexo</t>
  </si>
  <si>
    <t xml:space="preserve">Técnica</t>
  </si>
  <si>
    <t xml:space="preserve">Competencial</t>
  </si>
  <si>
    <t xml:space="preserve">Total fase 4</t>
  </si>
  <si>
    <t xml:space="preserve">Puntuación TOTAL</t>
  </si>
  <si>
    <t xml:space="preserve">LoRxke</t>
  </si>
  <si>
    <t xml:space="preserve">H</t>
  </si>
  <si>
    <t xml:space="preserve">UC8QEe</t>
  </si>
  <si>
    <t xml:space="preserve">X9jaAD</t>
  </si>
  <si>
    <t xml:space="preserve">4. Resultado final</t>
  </si>
  <si>
    <t xml:space="preserve">Persona(s) seleccionada(s)</t>
  </si>
  <si>
    <t xml:space="preserve">1 (0M / 1H)</t>
  </si>
  <si>
    <t xml:space="preserve">Puntuación máxima</t>
  </si>
  <si>
    <t xml:space="preserve">2025002 — Analista de Sistemas (Perfil Genérico)</t>
  </si>
  <si>
    <t xml:space="preserve">S114Y</t>
  </si>
  <si>
    <t xml:space="preserve">GerBV</t>
  </si>
  <si>
    <t xml:space="preserve">2 (0M / 2H)</t>
  </si>
  <si>
    <t xml:space="preserve">2025003 — Consultor/a SAP</t>
  </si>
  <si>
    <t xml:space="preserve">K39Pd</t>
  </si>
  <si>
    <t xml:space="preserve">M</t>
  </si>
  <si>
    <t xml:space="preserve">7TaBa</t>
  </si>
  <si>
    <t xml:space="preserve">2 (1M / 1H)</t>
  </si>
  <si>
    <t xml:space="preserve">2025006 — CTAG (Perfil RRHH)</t>
  </si>
  <si>
    <t xml:space="preserve">xv1i6</t>
  </si>
  <si>
    <t xml:space="preserve">1 (1M / 0H)</t>
  </si>
  <si>
    <t xml:space="preserve">PI-2025007 — CTAG (Perfil Administración)</t>
  </si>
  <si>
    <t xml:space="preserve">1. Composición y resultado</t>
  </si>
  <si>
    <t xml:space="preserve">Candidaturas presentadas</t>
  </si>
  <si>
    <t xml:space="preserve">Candidaturas admitidas (lista definitiva)</t>
  </si>
  <si>
    <t xml:space="preserve">Personas seleccionadas (resolución)</t>
  </si>
  <si>
    <t xml:space="preserve">Persona seleccionada (sexo)</t>
  </si>
  <si>
    <t xml:space="preserve">Mujer</t>
  </si>
  <si>
    <t xml:space="preserve">Puntuación final</t>
  </si>
  <si>
    <t xml:space="preserve">PI-2025010 — Responsable de Área (Perfil Producto)</t>
  </si>
  <si>
    <t xml:space="preserve">HALLAZGO DOCUMENTAL</t>
  </si>
  <si>
    <t xml:space="preserve">Los listados de candidaturas y resultados de méritos de este proceso NO incluyen marcador de sexo. Sexo conocido por nombres en resolución</t>
  </si>
  <si>
    <t xml:space="preserve">Hombre</t>
  </si>
  <si>
    <t xml:space="preserve">PI-2025011 — Jefatura de Proyecto (Perfil Mantenimiento)</t>
  </si>
  <si>
    <t xml:space="preserve">Los listados de candidaturas y resultados de méritos de este proceso NO incluyen marcador de sexo. Solo se conoce sexo del seleccionado (resolución)</t>
  </si>
  <si>
    <t xml:space="preserve">PI-2025012 — Jefatura de Proyecto (Perfil Estrategia del Dato)</t>
  </si>
  <si>
    <t xml:space="preserve">PI-2025013 — Jefatura de Proyecto (Perfil Unidad Técnica)</t>
  </si>
  <si>
    <t xml:space="preserve">Evolución de la presencia femenina por fase – procesos de selección externa</t>
  </si>
  <si>
    <t xml:space="preserve">Fase</t>
  </si>
  <si>
    <t xml:space="preserve">TSM (2025001)</t>
  </si>
  <si>
    <t xml:space="preserve">Analista S. (2025002)</t>
  </si>
  <si>
    <t xml:space="preserve">Consultor SAP (2025003)</t>
  </si>
  <si>
    <t xml:space="preserve">CTAG RRHH (2025006)</t>
  </si>
  <si>
    <t xml:space="preserve">Inscritas</t>
  </si>
  <si>
    <t xml:space="preserve">Aptas Fase 1</t>
  </si>
  <si>
    <t xml:space="preserve">Aptas Fase 3</t>
  </si>
  <si>
    <t xml:space="preserve">Llegan a Fase 4</t>
  </si>
  <si>
    <t xml:space="preserve">Personas seleccionadas por sexo y por proceso</t>
  </si>
  <si>
    <t xml:space="preserve">Proceso</t>
  </si>
  <si>
    <t xml:space="preserve">Total puestos</t>
  </si>
  <si>
    <t xml:space="preserve">Metodología, fuentes y advertencias</t>
  </si>
  <si>
    <t xml:space="preserve">1. Fuente de los datos</t>
  </si>
  <si>
    <t xml:space="preserve">Los datos cuantitativos proceden de los expedientes documentales facilitados por CCASA, en concreto de los listados de candidaturas (provisionales y definitivos) y de las puntuaciones de cada fase de los nueve procesos de 2025: cuatro de selección externa (2025001 TSM, 2025002 Analista de Sistemas, 2025003 Consultor SAP, 2025006 CTAG perfil RRHH) y cinco de promoción interna (PI-2025007 a PI-2025013).</t>
  </si>
  <si>
    <t xml:space="preserve">2. Cómo se han extraído los datos</t>
  </si>
  <si>
    <t xml:space="preserve">Se ha utilizado un script automatizado de extracción de texto de PDF (pdftotext) combinado con verificación manual posterior. Las cifras consignadas han sido contrastadas con los listados originales para minimizar errores.</t>
  </si>
  <si>
    <t xml:space="preserve">3. Limitaciones y advertencias</t>
  </si>
  <si>
    <t xml:space="preserve">• En los procesos PI-2025010 a PI-2025013 los listados no incluyen marcador de sexo de las personas candidatas. Solo se conoce el sexo de la persona seleccionada por su nombre en la resolución. Esto impide el análisis de género en las fases intermedias.</t>
  </si>
  <si>
    <t xml:space="preserve">• En el proceso 2025006 (CTAG RRHH) los marcadores de sexo aparecen partidos entre dos líneas en el PDF, lo que ha exigido un parseo manual cuidadoso.</t>
  </si>
  <si>
    <t xml:space="preserve">• En el proceso 2025002 se utiliza la abreviatura 'MAS/GIZ' en lugar de 'MASC/GIZ', lo que constituye una inconsistencia documental menor.</t>
  </si>
  <si>
    <t xml:space="preserve">• Los datos del Eustat sobre presencia de mujeres en titulaciones técnicas referenciados en el informe corresponden al curso 2021/2022 y se han recogido del informe de 2024 sobre datos de 2023; conviene actualizarlos con datos más recientes en próximas ediciones.</t>
  </si>
  <si>
    <t xml:space="preserve">4. Glosario</t>
  </si>
  <si>
    <t xml:space="preserve">• 's/d' = sin datos disponibles en la documentación.</t>
  </si>
  <si>
    <t xml:space="preserve">• 'M' = mujer; 'H' = hombre. Se utilizan los términos 'mujeres' y 'hombres' siguiendo la terminología del Plan de Igualdad y la Ley 4/2005 (modificada por la Ley 1/2023) para la Igualdad de Mujeres y Hombres y vidas libres de violencia machista contra las mujeres en Euskadi.</t>
  </si>
  <si>
    <t xml:space="preserve">• 'Presencia equilibrada' = presencia de cada sexo entre el 40 % y el 60 %, según el artículo 3 de la Ley 1/2023.</t>
  </si>
</sst>
</file>

<file path=xl/styles.xml><?xml version="1.0" encoding="utf-8"?>
<styleSheet xmlns="http://schemas.openxmlformats.org/spreadsheetml/2006/main">
  <numFmts count="3">
    <numFmt numFmtId="164" formatCode="General"/>
    <numFmt numFmtId="165" formatCode="0.0%"/>
    <numFmt numFmtId="166" formatCode="0.00"/>
  </numFmts>
  <fonts count="1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000000"/>
      <name val="Arial"/>
      <family val="0"/>
      <charset val="1"/>
    </font>
    <font>
      <sz val="11"/>
      <name val="Arial"/>
      <family val="0"/>
      <charset val="1"/>
    </font>
    <font>
      <b val="true"/>
      <sz val="11"/>
      <name val="Arial"/>
      <family val="0"/>
      <charset val="1"/>
    </font>
    <font>
      <i val="true"/>
      <sz val="10"/>
      <name val="Arial"/>
      <family val="0"/>
      <charset val="1"/>
    </font>
    <font>
      <b val="true"/>
      <sz val="12"/>
      <color rgb="FF1F4E79"/>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9C0006"/>
      <name val="Arial"/>
      <family val="0"/>
      <charset val="1"/>
    </font>
    <font>
      <sz val="10"/>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BDD7EE"/>
        <bgColor rgb="FFD9D9D9"/>
      </patternFill>
    </fill>
    <fill>
      <patternFill patternType="solid">
        <fgColor rgb="FFFFE699"/>
        <bgColor rgb="FFFFC7CE"/>
      </patternFill>
    </fill>
    <fill>
      <patternFill patternType="solid">
        <fgColor rgb="FFFFC7CE"/>
        <bgColor rgb="FFD9D9D9"/>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5" fontId="7" fillId="4"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6" fontId="7"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13" fillId="5"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878787"/>
      <rgbColor rgb="FF93A9CE"/>
      <rgbColor rgb="FFBE4B48"/>
      <rgbColor rgb="FFF9F9F9"/>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7CE"/>
      <rgbColor rgb="FF4A7EBB"/>
      <rgbColor rgb="FF33CCCC"/>
      <rgbColor rgb="FF98B855"/>
      <rgbColor rgb="FFFFCC00"/>
      <rgbColor rgb="FFFF9900"/>
      <rgbColor rgb="FFFF6600"/>
      <rgbColor rgb="FF7D5FA0"/>
      <rgbColor rgb="FFA6A6A6"/>
      <rgbColor rgb="FF003366"/>
      <rgbColor rgb="FF4672A8"/>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1"/>
  <c:chart>
    <c:title>
      <c:tx>
        <c:rich>
          <a:bodyPr rot="0"/>
          <a:lstStyle/>
          <a:p>
            <a:pPr>
              <a:defRPr sz="1300" b="0" u="none" strike="noStrike">
                <a:uFillTx/>
                <a:latin typeface="Arial"/>
              </a:defRPr>
            </a:pPr>
            <a:r>
              <a:rPr sz="1800" b="1" u="none" strike="noStrike">
                <a:solidFill>
                  <a:srgbClr val="000000"/>
                </a:solidFill>
                <a:uFillTx/>
                <a:latin typeface="Calibri"/>
              </a:rPr>
              <a:t>Puntuaciones medias en Fase 2 por sexo</a:t>
            </a:r>
          </a:p>
        </c:rich>
      </c:tx>
      <c:overlay val="0"/>
      <c:spPr>
        <a:noFill/>
        <a:ln w="0">
          <a:noFill/>
        </a:ln>
      </c:spPr>
    </c:title>
    <c:autoTitleDeleted val="0"/>
    <c:plotArea>
      <c:barChart>
        <c:barDir val="col"/>
        <c:grouping val="clustered"/>
        <c:varyColors val="0"/>
        <c:ser>
          <c:idx val="0"/>
          <c:order val="0"/>
          <c:tx>
            <c:strRef>
              <c:f>'2025001'!B14</c:f>
              <c:strCache>
                <c:ptCount val="1"/>
                <c:pt idx="0">
                  <c:v>Media mujeres</c:v>
                </c:pt>
              </c:strCache>
            </c:strRef>
          </c:tx>
          <c:spPr>
            <a:solidFill>
              <a:srgbClr val="4672A8"/>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'2025001'!$A$15:$A$19</c:f>
              <c:strCache>
                <c:ptCount val="5"/>
                <c:pt idx="0">
                  <c:v>Titulaciones</c:v>
                </c:pt>
                <c:pt idx="1">
                  <c:v>Certificaciones</c:v>
                </c:pt>
                <c:pt idx="2">
                  <c:v>Euskera</c:v>
                </c:pt>
                <c:pt idx="3">
                  <c:v>Inglés</c:v>
                </c:pt>
                <c:pt idx="4">
                  <c:v>Experiencia</c:v>
                </c:pt>
              </c:strCache>
            </c:strRef>
          </c:cat>
          <c:val>
            <c:numRef>
              <c:f>'2025001'!$B$15:$B$19</c:f>
              <c:numCache>
                <c:formatCode>0.00</c:formatCode>
                <c:ptCount val="5"/>
                <c:pt idx="0">
                  <c:v>6</c:v>
                </c:pt>
                <c:pt idx="1">
                  <c:v>0.33</c:v>
                </c:pt>
                <c:pt idx="2">
                  <c:v>1</c:v>
                </c:pt>
                <c:pt idx="3">
                  <c:v>0.33</c:v>
                </c:pt>
                <c:pt idx="4">
                  <c:v>10.67</c:v>
                </c:pt>
              </c:numCache>
            </c:numRef>
          </c:val>
        </c:ser>
        <c:ser>
          <c:idx val="1"/>
          <c:order val="1"/>
          <c:tx>
            <c:strRef>
              <c:f>'2025001'!C14</c:f>
              <c:strCache>
                <c:ptCount val="1"/>
                <c:pt idx="0">
                  <c:v>Media hombres</c:v>
                </c:pt>
              </c:strCache>
            </c:strRef>
          </c:tx>
          <c:spPr>
            <a:solidFill>
              <a:srgbClr val="93A9CE"/>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'2025001'!$A$15:$A$19</c:f>
              <c:strCache>
                <c:ptCount val="5"/>
                <c:pt idx="0">
                  <c:v>Titulaciones</c:v>
                </c:pt>
                <c:pt idx="1">
                  <c:v>Certificaciones</c:v>
                </c:pt>
                <c:pt idx="2">
                  <c:v>Euskera</c:v>
                </c:pt>
                <c:pt idx="3">
                  <c:v>Inglés</c:v>
                </c:pt>
                <c:pt idx="4">
                  <c:v>Experiencia</c:v>
                </c:pt>
              </c:strCache>
            </c:strRef>
          </c:cat>
          <c:val>
            <c:numRef>
              <c:f>'2025001'!$C$15:$C$19</c:f>
              <c:numCache>
                <c:formatCode>0.00</c:formatCode>
                <c:ptCount val="5"/>
                <c:pt idx="0">
                  <c:v>5.67</c:v>
                </c:pt>
                <c:pt idx="1">
                  <c:v>0.86</c:v>
                </c:pt>
                <c:pt idx="2">
                  <c:v>0.17</c:v>
                </c:pt>
                <c:pt idx="3">
                  <c:v>0.19</c:v>
                </c:pt>
                <c:pt idx="4">
                  <c:v>11.78</c:v>
                </c:pt>
              </c:numCache>
            </c:numRef>
          </c:val>
        </c:ser>
        <c:gapWidth val="150"/>
        <c:overlap val="0"/>
        <c:axId val="63456578"/>
        <c:axId val="48778136"/>
      </c:barChart>
      <c:catAx>
        <c:axId val="63456578"/>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Apartado</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8778136"/>
        <c:crosses val="autoZero"/>
        <c:auto val="1"/>
        <c:lblAlgn val="ctr"/>
        <c:lblOffset val="100"/>
        <c:noMultiLvlLbl val="0"/>
      </c:catAx>
      <c:valAx>
        <c:axId val="48778136"/>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Puntos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3456578"/>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 de mujeres por fase en los procesos de selección externa</a:t>
            </a:r>
          </a:p>
        </c:rich>
      </c:tx>
      <c:overlay val="0"/>
      <c:spPr>
        <a:noFill/>
        <a:ln w="0">
          <a:noFill/>
        </a:ln>
      </c:spPr>
    </c:title>
    <c:autoTitleDeleted val="0"/>
    <c:plotArea>
      <c:lineChart>
        <c:grouping val="standard"/>
        <c:varyColors val="0"/>
        <c:ser>
          <c:idx val="0"/>
          <c:order val="0"/>
          <c:tx>
            <c:strRef>
              <c:f>'Embudo presencia femenina'!B3</c:f>
              <c:strCache>
                <c:ptCount val="1"/>
                <c:pt idx="0">
                  <c:v>TSM (2025001)</c:v>
                </c:pt>
              </c:strCache>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'Embudo presencia femenina'!$A$4:$A$9</c:f>
              <c:strCache>
                <c:ptCount val="6"/>
                <c:pt idx="0">
                  <c:v>Inscritas</c:v>
                </c:pt>
                <c:pt idx="1">
                  <c:v>Admitidas (lista definitiva)</c:v>
                </c:pt>
                <c:pt idx="2">
                  <c:v>Aptas Fase 1</c:v>
                </c:pt>
                <c:pt idx="3">
                  <c:v>Aptas Fase 3</c:v>
                </c:pt>
                <c:pt idx="4">
                  <c:v>Llegan a Fase 4</c:v>
                </c:pt>
                <c:pt idx="5">
                  <c:v>Personas seleccionadas</c:v>
                </c:pt>
              </c:strCache>
            </c:strRef>
          </c:cat>
          <c:val>
            <c:numRef>
              <c:f>'Embudo presencia femenina'!$B$4:$B$9</c:f>
              <c:numCache>
                <c:formatCode>0.0%</c:formatCode>
                <c:ptCount val="6"/>
                <c:pt idx="0">
                  <c:v>0.18421052631579</c:v>
                </c:pt>
                <c:pt idx="1">
                  <c:v>0.130434782608696</c:v>
                </c:pt>
                <c:pt idx="2">
                  <c:v>0.142857142857143</c:v>
                </c:pt>
                <c:pt idx="3">
                  <c:v>0</c:v>
                </c:pt>
                <c:pt idx="4">
                  <c:v>0</c:v>
                </c:pt>
                <c:pt idx="5">
                  <c:v>0</c:v>
                </c:pt>
              </c:numCache>
            </c:numRef>
          </c:val>
          <c:smooth val="1"/>
        </c:ser>
        <c:ser>
          <c:idx val="1"/>
          <c:order val="1"/>
          <c:tx>
            <c:strRef>
              <c:f>'Embudo presencia femenina'!C3</c:f>
              <c:strCache>
                <c:ptCount val="1"/>
                <c:pt idx="0">
                  <c:v>Analista S. (2025002)</c:v>
                </c:pt>
              </c:strCache>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'Embudo presencia femenina'!$A$4:$A$9</c:f>
              <c:strCache>
                <c:ptCount val="6"/>
                <c:pt idx="0">
                  <c:v>Inscritas</c:v>
                </c:pt>
                <c:pt idx="1">
                  <c:v>Admitidas (lista definitiva)</c:v>
                </c:pt>
                <c:pt idx="2">
                  <c:v>Aptas Fase 1</c:v>
                </c:pt>
                <c:pt idx="3">
                  <c:v>Aptas Fase 3</c:v>
                </c:pt>
                <c:pt idx="4">
                  <c:v>Llegan a Fase 4</c:v>
                </c:pt>
                <c:pt idx="5">
                  <c:v>Personas seleccionadas</c:v>
                </c:pt>
              </c:strCache>
            </c:strRef>
          </c:cat>
          <c:val>
            <c:numRef>
              <c:f>'Embudo presencia femenina'!$C$4:$C$9</c:f>
              <c:numCache>
                <c:formatCode>0.0%</c:formatCode>
                <c:ptCount val="6"/>
                <c:pt idx="0">
                  <c:v>0.173913043478261</c:v>
                </c:pt>
                <c:pt idx="1">
                  <c:v>0.173913043478261</c:v>
                </c:pt>
                <c:pt idx="2">
                  <c:v>0.181818181818182</c:v>
                </c:pt>
                <c:pt idx="3">
                  <c:v>0.125</c:v>
                </c:pt>
                <c:pt idx="4">
                  <c:v>0</c:v>
                </c:pt>
                <c:pt idx="5">
                  <c:v>0</c:v>
                </c:pt>
              </c:numCache>
            </c:numRef>
          </c:val>
          <c:smooth val="1"/>
        </c:ser>
        <c:ser>
          <c:idx val="2"/>
          <c:order val="2"/>
          <c:tx>
            <c:strRef>
              <c:f>'Embudo presencia femenina'!D3</c:f>
              <c:strCache>
                <c:ptCount val="1"/>
                <c:pt idx="0">
                  <c:v>Consultor SAP (2025003)</c:v>
                </c:pt>
              </c:strCache>
            </c:strRef>
          </c:tx>
          <c:spPr>
            <a:solidFill>
              <a:srgbClr val="98B855"/>
            </a:solidFill>
            <a:ln w="12600">
              <a:solidFill>
                <a:srgbClr val="98B855"/>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'Embudo presencia femenina'!$A$4:$A$9</c:f>
              <c:strCache>
                <c:ptCount val="6"/>
                <c:pt idx="0">
                  <c:v>Inscritas</c:v>
                </c:pt>
                <c:pt idx="1">
                  <c:v>Admitidas (lista definitiva)</c:v>
                </c:pt>
                <c:pt idx="2">
                  <c:v>Aptas Fase 1</c:v>
                </c:pt>
                <c:pt idx="3">
                  <c:v>Aptas Fase 3</c:v>
                </c:pt>
                <c:pt idx="4">
                  <c:v>Llegan a Fase 4</c:v>
                </c:pt>
                <c:pt idx="5">
                  <c:v>Personas seleccionadas</c:v>
                </c:pt>
              </c:strCache>
            </c:strRef>
          </c:cat>
          <c:val>
            <c:numRef>
              <c:f>'Embudo presencia femenina'!$D$4:$D$9</c:f>
              <c:numCache>
                <c:formatCode>0.0%</c:formatCode>
                <c:ptCount val="6"/>
                <c:pt idx="0">
                  <c:v>0.461538461538462</c:v>
                </c:pt>
                <c:pt idx="1">
                  <c:v>0.461538461538462</c:v>
                </c:pt>
                <c:pt idx="3">
                  <c:v>0.333333333333333</c:v>
                </c:pt>
                <c:pt idx="4">
                  <c:v>0.3</c:v>
                </c:pt>
                <c:pt idx="5">
                  <c:v>0.5</c:v>
                </c:pt>
              </c:numCache>
            </c:numRef>
          </c:val>
          <c:smooth val="1"/>
        </c:ser>
        <c:ser>
          <c:idx val="3"/>
          <c:order val="3"/>
          <c:tx>
            <c:strRef>
              <c:f>'Embudo presencia femenina'!E3</c:f>
              <c:strCache>
                <c:ptCount val="1"/>
                <c:pt idx="0">
                  <c:v>CTAG RRHH (2025006)</c:v>
                </c:pt>
              </c:strCache>
            </c:strRef>
          </c:tx>
          <c:spPr>
            <a:solidFill>
              <a:srgbClr val="7D5FA0"/>
            </a:solidFill>
            <a:ln w="12600">
              <a:solidFill>
                <a:srgbClr val="7D5FA0"/>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'Embudo presencia femenina'!$A$4:$A$9</c:f>
              <c:strCache>
                <c:ptCount val="6"/>
                <c:pt idx="0">
                  <c:v>Inscritas</c:v>
                </c:pt>
                <c:pt idx="1">
                  <c:v>Admitidas (lista definitiva)</c:v>
                </c:pt>
                <c:pt idx="2">
                  <c:v>Aptas Fase 1</c:v>
                </c:pt>
                <c:pt idx="3">
                  <c:v>Aptas Fase 3</c:v>
                </c:pt>
                <c:pt idx="4">
                  <c:v>Llegan a Fase 4</c:v>
                </c:pt>
                <c:pt idx="5">
                  <c:v>Personas seleccionadas</c:v>
                </c:pt>
              </c:strCache>
            </c:strRef>
          </c:cat>
          <c:val>
            <c:numRef>
              <c:f>'Embudo presencia femenina'!$E$4:$E$9</c:f>
              <c:numCache>
                <c:formatCode>0.0%</c:formatCode>
                <c:ptCount val="6"/>
                <c:pt idx="0">
                  <c:v>1</c:v>
                </c:pt>
                <c:pt idx="1">
                  <c:v>1</c:v>
                </c:pt>
                <c:pt idx="2">
                  <c:v>1</c:v>
                </c:pt>
                <c:pt idx="3">
                  <c:v>1</c:v>
                </c:pt>
                <c:pt idx="4">
                  <c:v>1</c:v>
                </c:pt>
                <c:pt idx="5">
                  <c:v>1</c:v>
                </c:pt>
              </c:numCache>
            </c:numRef>
          </c:val>
          <c:smooth val="1"/>
        </c:ser>
        <c:hiLowLines>
          <c:spPr>
            <a:ln w="0">
              <a:noFill/>
            </a:ln>
          </c:spPr>
        </c:hiLowLines>
        <c:marker val="0"/>
        <c:axId val="86147475"/>
        <c:axId val="22257311"/>
      </c:lineChart>
      <c:catAx>
        <c:axId val="86147475"/>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Fase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2257311"/>
        <c:crosses val="autoZero"/>
        <c:auto val="1"/>
        <c:lblAlgn val="ctr"/>
        <c:lblOffset val="100"/>
        <c:noMultiLvlLbl val="0"/>
      </c:catAx>
      <c:valAx>
        <c:axId val="22257311"/>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 mujeres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147475"/>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1"/>
  <c:chart>
    <c:title>
      <c:tx>
        <c:rich>
          <a:bodyPr rot="0"/>
          <a:lstStyle/>
          <a:p>
            <a:pPr>
              <a:defRPr sz="1300" b="0" u="none" strike="noStrike">
                <a:uFillTx/>
                <a:latin typeface="Arial"/>
              </a:defRPr>
            </a:pPr>
            <a:r>
              <a:rPr sz="1800" b="1" u="none" strike="noStrike">
                <a:solidFill>
                  <a:srgbClr val="000000"/>
                </a:solidFill>
                <a:uFillTx/>
                <a:latin typeface="Calibri"/>
              </a:rPr>
              <a:t>Personas seleccionadas por proceso (apiladas por sexo)</a:t>
            </a:r>
          </a:p>
        </c:rich>
      </c:tx>
      <c:overlay val="0"/>
      <c:spPr>
        <a:noFill/>
        <a:ln w="0">
          <a:noFill/>
        </a:ln>
      </c:spPr>
    </c:title>
    <c:autoTitleDeleted val="0"/>
    <c:plotArea>
      <c:barChart>
        <c:barDir val="bar"/>
        <c:grouping val="stacked"/>
        <c:varyColors val="0"/>
        <c:ser>
          <c:idx val="0"/>
          <c:order val="0"/>
          <c:tx>
            <c:strRef>
              <c:f>'Selección final por sexo'!C3</c:f>
              <c:strCache>
                <c:ptCount val="1"/>
                <c:pt idx="0">
                  <c:v>Mujeres seleccionadas</c:v>
                </c:pt>
              </c:strCache>
            </c:strRef>
          </c:tx>
          <c:spPr>
            <a:solidFill>
              <a:srgbClr val="4672A8"/>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'Selección final por sexo'!$A$4:$A$12</c:f>
              <c:strCache>
                <c:ptCount val="9"/>
                <c:pt idx="0">
                  <c:v>2025001 — Técnico/a de Soporte Microinformático (TSM)</c:v>
                </c:pt>
                <c:pt idx="1">
                  <c:v>2025002 — Analista de Sistemas (Perfil Genérico)</c:v>
                </c:pt>
                <c:pt idx="2">
                  <c:v>2025003 — Consultor/a SAP</c:v>
                </c:pt>
                <c:pt idx="3">
                  <c:v>2025006 — CTAG (Perfil RRHH)</c:v>
                </c:pt>
                <c:pt idx="4">
                  <c:v>PI-2025007 — CTAG (Perfil Administración)</c:v>
                </c:pt>
                <c:pt idx="5">
                  <c:v>PI-2025010 — Responsable de Área (Perfil Producto)</c:v>
                </c:pt>
                <c:pt idx="6">
                  <c:v>PI-2025011 — Jefatura de Proyecto (Perfil Mantenimiento)</c:v>
                </c:pt>
                <c:pt idx="7">
                  <c:v>PI-2025012 — Jefatura de Proyecto (Perfil Estrategia del Dato)</c:v>
                </c:pt>
                <c:pt idx="8">
                  <c:v>PI-2025013 — Jefatura de Proyecto (Perfil Unidad Técnica)</c:v>
                </c:pt>
              </c:strCache>
            </c:strRef>
          </c:cat>
          <c:val>
            <c:numRef>
              <c:f>'Selección final por sexo'!$C$4:$C$12</c:f>
              <c:numCache>
                <c:formatCode>General</c:formatCode>
                <c:ptCount val="9"/>
                <c:pt idx="0">
                  <c:v>0</c:v>
                </c:pt>
                <c:pt idx="1">
                  <c:v>0</c:v>
                </c:pt>
                <c:pt idx="2">
                  <c:v>1</c:v>
                </c:pt>
                <c:pt idx="3">
                  <c:v>1</c:v>
                </c:pt>
                <c:pt idx="4">
                  <c:v>1</c:v>
                </c:pt>
                <c:pt idx="5">
                  <c:v>0</c:v>
                </c:pt>
                <c:pt idx="6">
                  <c:v>0</c:v>
                </c:pt>
                <c:pt idx="7">
                  <c:v>0</c:v>
                </c:pt>
                <c:pt idx="8">
                  <c:v>0</c:v>
                </c:pt>
              </c:numCache>
            </c:numRef>
          </c:val>
        </c:ser>
        <c:ser>
          <c:idx val="1"/>
          <c:order val="1"/>
          <c:tx>
            <c:strRef>
              <c:f>'Selección final por sexo'!D3</c:f>
              <c:strCache>
                <c:ptCount val="1"/>
                <c:pt idx="0">
                  <c:v>Hombres seleccionados</c:v>
                </c:pt>
              </c:strCache>
            </c:strRef>
          </c:tx>
          <c:spPr>
            <a:solidFill>
              <a:srgbClr val="93A9CE"/>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'Selección final por sexo'!$A$4:$A$12</c:f>
              <c:strCache>
                <c:ptCount val="9"/>
                <c:pt idx="0">
                  <c:v>2025001 — Técnico/a de Soporte Microinformático (TSM)</c:v>
                </c:pt>
                <c:pt idx="1">
                  <c:v>2025002 — Analista de Sistemas (Perfil Genérico)</c:v>
                </c:pt>
                <c:pt idx="2">
                  <c:v>2025003 — Consultor/a SAP</c:v>
                </c:pt>
                <c:pt idx="3">
                  <c:v>2025006 — CTAG (Perfil RRHH)</c:v>
                </c:pt>
                <c:pt idx="4">
                  <c:v>PI-2025007 — CTAG (Perfil Administración)</c:v>
                </c:pt>
                <c:pt idx="5">
                  <c:v>PI-2025010 — Responsable de Área (Perfil Producto)</c:v>
                </c:pt>
                <c:pt idx="6">
                  <c:v>PI-2025011 — Jefatura de Proyecto (Perfil Mantenimiento)</c:v>
                </c:pt>
                <c:pt idx="7">
                  <c:v>PI-2025012 — Jefatura de Proyecto (Perfil Estrategia del Dato)</c:v>
                </c:pt>
                <c:pt idx="8">
                  <c:v>PI-2025013 — Jefatura de Proyecto (Perfil Unidad Técnica)</c:v>
                </c:pt>
              </c:strCache>
            </c:strRef>
          </c:cat>
          <c:val>
            <c:numRef>
              <c:f>'Selección final por sexo'!$D$4:$D$12</c:f>
              <c:numCache>
                <c:formatCode>General</c:formatCode>
                <c:ptCount val="9"/>
                <c:pt idx="0">
                  <c:v>1</c:v>
                </c:pt>
                <c:pt idx="1">
                  <c:v>2</c:v>
                </c:pt>
                <c:pt idx="2">
                  <c:v>1</c:v>
                </c:pt>
                <c:pt idx="3">
                  <c:v>0</c:v>
                </c:pt>
                <c:pt idx="4">
                  <c:v>0</c:v>
                </c:pt>
                <c:pt idx="5">
                  <c:v>1</c:v>
                </c:pt>
                <c:pt idx="6">
                  <c:v>1</c:v>
                </c:pt>
                <c:pt idx="7">
                  <c:v>1</c:v>
                </c:pt>
                <c:pt idx="8">
                  <c:v>1</c:v>
                </c:pt>
              </c:numCache>
            </c:numRef>
          </c:val>
        </c:ser>
        <c:gapWidth val="150"/>
        <c:overlap val="100"/>
        <c:axId val="71541903"/>
        <c:axId val="91557936"/>
      </c:barChart>
      <c:catAx>
        <c:axId val="71541903"/>
        <c:scaling>
          <c:orientation val="minMax"/>
        </c:scaling>
        <c:delete val="0"/>
        <c:axPos val="b"/>
        <c:title>
          <c:tx>
            <c:rich>
              <a:bodyPr rot="-5400000"/>
              <a:lstStyle/>
              <a:p>
                <a:pPr>
                  <a:defRPr sz="1300" b="0" u="none" strike="noStrike">
                    <a:uFillTx/>
                    <a:latin typeface="Arial"/>
                  </a:defRPr>
                </a:pPr>
                <a:r>
                  <a:rPr sz="1000" b="1" u="none" strike="noStrike">
                    <a:solidFill>
                      <a:srgbClr val="000000"/>
                    </a:solidFill>
                    <a:uFillTx/>
                    <a:latin typeface="Calibri"/>
                  </a:rPr>
                  <a:t>Proceso</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1557936"/>
        <c:crosses val="autoZero"/>
        <c:auto val="1"/>
        <c:lblAlgn val="ctr"/>
        <c:lblOffset val="100"/>
        <c:noMultiLvlLbl val="0"/>
      </c:catAx>
      <c:valAx>
        <c:axId val="91557936"/>
        <c:scaling>
          <c:orientation val="minMax"/>
        </c:scaling>
        <c:delete val="0"/>
        <c:axPos val="l"/>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Personas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541903"/>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12</xdr:row>
      <xdr:rowOff>0</xdr:rowOff>
    </xdr:from>
    <xdr:to>
      <xdr:col>14</xdr:col>
      <xdr:colOff>225720</xdr:colOff>
      <xdr:row>28</xdr:row>
      <xdr:rowOff>41400</xdr:rowOff>
    </xdr:to>
    <xdr:graphicFrame>
      <xdr:nvGraphicFramePr>
        <xdr:cNvPr id="1" name="Chart 1"/>
        <xdr:cNvGraphicFramePr/>
      </xdr:nvGraphicFramePr>
      <xdr:xfrm>
        <a:off x="6202800" y="287100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11</xdr:row>
      <xdr:rowOff>0</xdr:rowOff>
    </xdr:from>
    <xdr:to>
      <xdr:col>6</xdr:col>
      <xdr:colOff>518760</xdr:colOff>
      <xdr:row>29</xdr:row>
      <xdr:rowOff>170640</xdr:rowOff>
    </xdr:to>
    <xdr:graphicFrame>
      <xdr:nvGraphicFramePr>
        <xdr:cNvPr id="2" name="Chart 1"/>
        <xdr:cNvGraphicFramePr/>
      </xdr:nvGraphicFramePr>
      <xdr:xfrm>
        <a:off x="0" y="2437200"/>
        <a:ext cx="79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0</xdr:rowOff>
    </xdr:from>
    <xdr:to>
      <xdr:col>18</xdr:col>
      <xdr:colOff>581760</xdr:colOff>
      <xdr:row>22</xdr:row>
      <xdr:rowOff>25560</xdr:rowOff>
    </xdr:to>
    <xdr:graphicFrame>
      <xdr:nvGraphicFramePr>
        <xdr:cNvPr id="3" name="Chart 1"/>
        <xdr:cNvGraphicFramePr/>
      </xdr:nvGraphicFramePr>
      <xdr:xfrm>
        <a:off x="8364960" y="410760"/>
        <a:ext cx="791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11.xml.rels><?xml version="1.0" encoding="UTF-8"?>
<Relationships xmlns="http://schemas.openxmlformats.org/package/2006/relationships"><Relationship Id="rId1" Type="http://schemas.openxmlformats.org/officeDocument/2006/relationships/drawing" Target="../drawings/drawing2.xml"/>
</Relationships>
</file>

<file path=xl/worksheets/_rels/sheet12.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38"/>
    <col collapsed="false" customWidth="true" hidden="false" outlineLevel="0" max="3" min="3" style="0" width="18"/>
    <col collapsed="false" customWidth="true" hidden="false" outlineLevel="0" max="15" min="4" style="0" width="13"/>
  </cols>
  <sheetData>
    <row r="1" customFormat="false" ht="27.75" hidden="false" customHeight="true" outlineLevel="0" collapsed="false">
      <c r="A1" s="1" t="s">
        <v>0</v>
      </c>
      <c r="B1" s="1"/>
      <c r="C1" s="1"/>
      <c r="D1" s="1"/>
      <c r="E1" s="1"/>
      <c r="F1" s="1"/>
      <c r="G1" s="1"/>
      <c r="H1" s="1"/>
      <c r="I1" s="1"/>
      <c r="J1" s="1"/>
      <c r="K1" s="1"/>
      <c r="L1" s="1"/>
      <c r="M1" s="1"/>
      <c r="N1" s="1"/>
      <c r="O1" s="1"/>
    </row>
    <row r="3" customFormat="false" ht="37.5" hidden="false" customHeight="true" outlineLevel="0" collapsed="false">
      <c r="A3" s="2" t="s">
        <v>1</v>
      </c>
      <c r="B3" s="2" t="s">
        <v>2</v>
      </c>
      <c r="C3" s="2" t="s">
        <v>3</v>
      </c>
      <c r="D3" s="2" t="s">
        <v>4</v>
      </c>
      <c r="E3" s="2" t="s">
        <v>5</v>
      </c>
      <c r="F3" s="2" t="s">
        <v>6</v>
      </c>
      <c r="G3" s="2" t="s">
        <v>7</v>
      </c>
      <c r="H3" s="2" t="s">
        <v>8</v>
      </c>
      <c r="I3" s="2" t="s">
        <v>9</v>
      </c>
      <c r="J3" s="2" t="s">
        <v>10</v>
      </c>
      <c r="K3" s="2" t="s">
        <v>11</v>
      </c>
      <c r="L3" s="2" t="s">
        <v>12</v>
      </c>
      <c r="M3" s="2" t="s">
        <v>13</v>
      </c>
      <c r="N3" s="2" t="s">
        <v>14</v>
      </c>
      <c r="O3" s="2" t="s">
        <v>15</v>
      </c>
    </row>
    <row r="4" customFormat="false" ht="26.85" hidden="false" customHeight="false" outlineLevel="0" collapsed="false">
      <c r="A4" s="3" t="s">
        <v>16</v>
      </c>
      <c r="B4" s="4" t="s">
        <v>17</v>
      </c>
      <c r="C4" s="3" t="s">
        <v>18</v>
      </c>
      <c r="D4" s="3" t="n">
        <v>1</v>
      </c>
      <c r="E4" s="3" t="n">
        <v>38</v>
      </c>
      <c r="F4" s="3" t="n">
        <v>7</v>
      </c>
      <c r="G4" s="3" t="n">
        <v>31</v>
      </c>
      <c r="H4" s="5" t="n">
        <f aca="false">F4/E4</f>
        <v>0.184210526315789</v>
      </c>
      <c r="I4" s="3" t="n">
        <v>3</v>
      </c>
      <c r="J4" s="3" t="n">
        <v>0</v>
      </c>
      <c r="K4" s="3" t="n">
        <v>3</v>
      </c>
      <c r="L4" s="3" t="n">
        <v>1</v>
      </c>
      <c r="M4" s="3" t="n">
        <v>0</v>
      </c>
      <c r="N4" s="3" t="n">
        <v>1</v>
      </c>
      <c r="O4" s="5" t="n">
        <f aca="false">IF(L4=0,0,M4/L4)</f>
        <v>0</v>
      </c>
    </row>
    <row r="5" customFormat="false" ht="15" hidden="false" customHeight="false" outlineLevel="0" collapsed="false">
      <c r="A5" s="3" t="s">
        <v>19</v>
      </c>
      <c r="B5" s="4" t="s">
        <v>20</v>
      </c>
      <c r="C5" s="3" t="s">
        <v>18</v>
      </c>
      <c r="D5" s="3" t="n">
        <v>2</v>
      </c>
      <c r="E5" s="3" t="n">
        <v>23</v>
      </c>
      <c r="F5" s="3" t="n">
        <v>4</v>
      </c>
      <c r="G5" s="3" t="n">
        <v>19</v>
      </c>
      <c r="H5" s="5" t="n">
        <f aca="false">F5/E5</f>
        <v>0.173913043478261</v>
      </c>
      <c r="I5" s="3" t="n">
        <v>10</v>
      </c>
      <c r="J5" s="3" t="n">
        <v>0</v>
      </c>
      <c r="K5" s="3" t="n">
        <v>10</v>
      </c>
      <c r="L5" s="3" t="n">
        <v>2</v>
      </c>
      <c r="M5" s="3" t="n">
        <v>0</v>
      </c>
      <c r="N5" s="3" t="n">
        <v>2</v>
      </c>
      <c r="O5" s="5" t="n">
        <f aca="false">IF(L5=0,0,M5/L5)</f>
        <v>0</v>
      </c>
    </row>
    <row r="6" customFormat="false" ht="15" hidden="false" customHeight="false" outlineLevel="0" collapsed="false">
      <c r="A6" s="3" t="s">
        <v>21</v>
      </c>
      <c r="B6" s="4" t="s">
        <v>22</v>
      </c>
      <c r="C6" s="3" t="s">
        <v>18</v>
      </c>
      <c r="D6" s="3" t="n">
        <v>2</v>
      </c>
      <c r="E6" s="3" t="n">
        <v>26</v>
      </c>
      <c r="F6" s="3" t="n">
        <v>12</v>
      </c>
      <c r="G6" s="3" t="n">
        <v>14</v>
      </c>
      <c r="H6" s="5" t="n">
        <f aca="false">F6/E6</f>
        <v>0.461538461538462</v>
      </c>
      <c r="I6" s="3" t="n">
        <v>10</v>
      </c>
      <c r="J6" s="3" t="n">
        <v>3</v>
      </c>
      <c r="K6" s="3" t="n">
        <v>7</v>
      </c>
      <c r="L6" s="3" t="n">
        <v>2</v>
      </c>
      <c r="M6" s="3" t="n">
        <v>1</v>
      </c>
      <c r="N6" s="3" t="n">
        <v>1</v>
      </c>
      <c r="O6" s="5" t="n">
        <f aca="false">IF(L6=0,0,M6/L6)</f>
        <v>0.5</v>
      </c>
    </row>
    <row r="7" customFormat="false" ht="15" hidden="false" customHeight="false" outlineLevel="0" collapsed="false">
      <c r="A7" s="3" t="s">
        <v>23</v>
      </c>
      <c r="B7" s="4" t="s">
        <v>24</v>
      </c>
      <c r="C7" s="3" t="s">
        <v>18</v>
      </c>
      <c r="D7" s="3" t="n">
        <v>1</v>
      </c>
      <c r="E7" s="3" t="n">
        <v>19</v>
      </c>
      <c r="F7" s="3" t="n">
        <v>19</v>
      </c>
      <c r="G7" s="3" t="n">
        <v>0</v>
      </c>
      <c r="H7" s="5" t="n">
        <f aca="false">F7/E7</f>
        <v>1</v>
      </c>
      <c r="I7" s="3" t="n">
        <v>3</v>
      </c>
      <c r="J7" s="3" t="n">
        <v>3</v>
      </c>
      <c r="K7" s="3" t="n">
        <v>0</v>
      </c>
      <c r="L7" s="3" t="n">
        <v>1</v>
      </c>
      <c r="M7" s="3" t="n">
        <v>1</v>
      </c>
      <c r="N7" s="3" t="n">
        <v>0</v>
      </c>
      <c r="O7" s="5" t="n">
        <f aca="false">IF(L7=0,0,M7/L7)</f>
        <v>1</v>
      </c>
    </row>
    <row r="8" customFormat="false" ht="15" hidden="false" customHeight="false" outlineLevel="0" collapsed="false">
      <c r="A8" s="3" t="s">
        <v>25</v>
      </c>
      <c r="B8" s="4" t="s">
        <v>26</v>
      </c>
      <c r="C8" s="3" t="s">
        <v>27</v>
      </c>
      <c r="D8" s="3" t="n">
        <v>1</v>
      </c>
      <c r="E8" s="3" t="n">
        <v>1</v>
      </c>
      <c r="F8" s="3" t="n">
        <v>1</v>
      </c>
      <c r="G8" s="3" t="n">
        <v>0</v>
      </c>
      <c r="H8" s="5" t="n">
        <f aca="false">IFERROR(F8/E8,"s/d")</f>
        <v>1</v>
      </c>
      <c r="I8" s="3" t="s">
        <v>28</v>
      </c>
      <c r="J8" s="3" t="s">
        <v>28</v>
      </c>
      <c r="K8" s="3" t="s">
        <v>28</v>
      </c>
      <c r="L8" s="3" t="n">
        <v>1</v>
      </c>
      <c r="M8" s="3" t="n">
        <v>1</v>
      </c>
      <c r="N8" s="3" t="n">
        <v>0</v>
      </c>
      <c r="O8" s="5" t="n">
        <f aca="false">IF(L8=0,0,M8/L8)</f>
        <v>1</v>
      </c>
    </row>
    <row r="9" customFormat="false" ht="15" hidden="false" customHeight="false" outlineLevel="0" collapsed="false">
      <c r="A9" s="3" t="s">
        <v>29</v>
      </c>
      <c r="B9" s="4" t="s">
        <v>30</v>
      </c>
      <c r="C9" s="3" t="s">
        <v>27</v>
      </c>
      <c r="D9" s="3" t="n">
        <v>1</v>
      </c>
      <c r="E9" s="3" t="n">
        <v>4</v>
      </c>
      <c r="F9" s="3" t="n">
        <v>2</v>
      </c>
      <c r="G9" s="3" t="n">
        <v>2</v>
      </c>
      <c r="H9" s="5" t="n">
        <f aca="false">IFERROR(F9/E9,"s/d")</f>
        <v>0.5</v>
      </c>
      <c r="I9" s="3" t="s">
        <v>28</v>
      </c>
      <c r="J9" s="3" t="s">
        <v>28</v>
      </c>
      <c r="K9" s="3" t="s">
        <v>28</v>
      </c>
      <c r="L9" s="3" t="n">
        <v>1</v>
      </c>
      <c r="M9" s="3" t="n">
        <v>0</v>
      </c>
      <c r="N9" s="3" t="n">
        <v>1</v>
      </c>
      <c r="O9" s="5" t="n">
        <f aca="false">IF(L9=0,0,M9/L9)</f>
        <v>0</v>
      </c>
    </row>
    <row r="10" customFormat="false" ht="26.85" hidden="false" customHeight="false" outlineLevel="0" collapsed="false">
      <c r="A10" s="3" t="s">
        <v>31</v>
      </c>
      <c r="B10" s="4" t="s">
        <v>32</v>
      </c>
      <c r="C10" s="3" t="s">
        <v>27</v>
      </c>
      <c r="D10" s="3" t="n">
        <v>1</v>
      </c>
      <c r="E10" s="3" t="n">
        <v>4</v>
      </c>
      <c r="F10" s="3" t="s">
        <v>33</v>
      </c>
      <c r="G10" s="3" t="s">
        <v>33</v>
      </c>
      <c r="H10" s="3" t="s">
        <v>33</v>
      </c>
      <c r="I10" s="3" t="s">
        <v>28</v>
      </c>
      <c r="J10" s="3" t="s">
        <v>28</v>
      </c>
      <c r="K10" s="3" t="s">
        <v>28</v>
      </c>
      <c r="L10" s="3" t="n">
        <v>1</v>
      </c>
      <c r="M10" s="3" t="n">
        <v>0</v>
      </c>
      <c r="N10" s="3" t="n">
        <v>1</v>
      </c>
      <c r="O10" s="5" t="n">
        <f aca="false">IF(L10=0,0,M10/L10)</f>
        <v>0</v>
      </c>
    </row>
    <row r="11" customFormat="false" ht="26.85" hidden="false" customHeight="false" outlineLevel="0" collapsed="false">
      <c r="A11" s="3" t="s">
        <v>34</v>
      </c>
      <c r="B11" s="4" t="s">
        <v>35</v>
      </c>
      <c r="C11" s="3" t="s">
        <v>27</v>
      </c>
      <c r="D11" s="3" t="n">
        <v>1</v>
      </c>
      <c r="E11" s="3" t="n">
        <v>4</v>
      </c>
      <c r="F11" s="3" t="s">
        <v>33</v>
      </c>
      <c r="G11" s="3" t="s">
        <v>33</v>
      </c>
      <c r="H11" s="3" t="s">
        <v>33</v>
      </c>
      <c r="I11" s="3" t="s">
        <v>28</v>
      </c>
      <c r="J11" s="3" t="s">
        <v>28</v>
      </c>
      <c r="K11" s="3" t="s">
        <v>28</v>
      </c>
      <c r="L11" s="3" t="n">
        <v>1</v>
      </c>
      <c r="M11" s="3" t="n">
        <v>0</v>
      </c>
      <c r="N11" s="3" t="n">
        <v>1</v>
      </c>
      <c r="O11" s="5" t="n">
        <f aca="false">IF(L11=0,0,M11/L11)</f>
        <v>0</v>
      </c>
    </row>
    <row r="12" customFormat="false" ht="26.85" hidden="false" customHeight="false" outlineLevel="0" collapsed="false">
      <c r="A12" s="3" t="s">
        <v>36</v>
      </c>
      <c r="B12" s="4" t="s">
        <v>37</v>
      </c>
      <c r="C12" s="3" t="s">
        <v>27</v>
      </c>
      <c r="D12" s="3" t="n">
        <v>1</v>
      </c>
      <c r="E12" s="3" t="n">
        <v>5</v>
      </c>
      <c r="F12" s="3" t="s">
        <v>33</v>
      </c>
      <c r="G12" s="3" t="s">
        <v>33</v>
      </c>
      <c r="H12" s="3" t="s">
        <v>33</v>
      </c>
      <c r="I12" s="3" t="s">
        <v>28</v>
      </c>
      <c r="J12" s="3" t="s">
        <v>28</v>
      </c>
      <c r="K12" s="3" t="s">
        <v>28</v>
      </c>
      <c r="L12" s="3" t="n">
        <v>1</v>
      </c>
      <c r="M12" s="3" t="n">
        <v>0</v>
      </c>
      <c r="N12" s="3" t="n">
        <v>1</v>
      </c>
      <c r="O12" s="5" t="n">
        <f aca="false">IF(L12=0,0,M12/L12)</f>
        <v>0</v>
      </c>
    </row>
    <row r="13" customFormat="false" ht="15" hidden="false" customHeight="false" outlineLevel="0" collapsed="false">
      <c r="A13" s="6" t="s">
        <v>38</v>
      </c>
      <c r="B13" s="7"/>
      <c r="C13" s="7"/>
      <c r="D13" s="8" t="n">
        <f aca="false">SUM(D4:D12)</f>
        <v>11</v>
      </c>
      <c r="E13" s="8" t="n">
        <f aca="false">SUM(E4:E12)</f>
        <v>124</v>
      </c>
      <c r="F13" s="8" t="n">
        <f aca="false">SUM(F4:F12)</f>
        <v>45</v>
      </c>
      <c r="G13" s="8" t="n">
        <f aca="false">SUM(G4:G12)</f>
        <v>66</v>
      </c>
      <c r="H13" s="9" t="n">
        <f aca="false">F13/E13</f>
        <v>0.362903225806452</v>
      </c>
      <c r="I13" s="3" t="s">
        <v>28</v>
      </c>
      <c r="J13" s="3" t="s">
        <v>28</v>
      </c>
      <c r="K13" s="3" t="s">
        <v>28</v>
      </c>
      <c r="L13" s="8" t="n">
        <f aca="false">SUM(L4:L12)</f>
        <v>11</v>
      </c>
      <c r="M13" s="8" t="n">
        <f aca="false">SUM(M4:M12)</f>
        <v>3</v>
      </c>
      <c r="N13" s="8" t="n">
        <f aca="false">SUM(N4:N12)</f>
        <v>8</v>
      </c>
      <c r="O13" s="9" t="n">
        <f aca="false">M13/L13</f>
        <v>0.272727272727273</v>
      </c>
    </row>
    <row r="16" customFormat="false" ht="15" hidden="false" customHeight="false" outlineLevel="0" collapsed="false">
      <c r="A16" s="10" t="s">
        <v>39</v>
      </c>
      <c r="B16" s="10"/>
      <c r="C16" s="10"/>
      <c r="D16" s="10"/>
      <c r="E16" s="10"/>
      <c r="F16" s="10"/>
      <c r="G16" s="10"/>
      <c r="H16" s="10"/>
      <c r="I16" s="10"/>
      <c r="J16" s="10"/>
      <c r="K16" s="10"/>
      <c r="L16" s="10"/>
      <c r="M16" s="10"/>
      <c r="N16" s="10"/>
      <c r="O16" s="10"/>
    </row>
    <row r="17" customFormat="false" ht="15" hidden="false" customHeight="true" outlineLevel="0" collapsed="false">
      <c r="A17" s="11" t="s">
        <v>40</v>
      </c>
      <c r="B17" s="11"/>
      <c r="C17" s="11"/>
      <c r="D17" s="11"/>
      <c r="E17" s="11"/>
      <c r="F17" s="11"/>
      <c r="G17" s="11"/>
      <c r="H17" s="11"/>
      <c r="I17" s="11"/>
      <c r="J17" s="11"/>
      <c r="K17" s="11"/>
      <c r="L17" s="11"/>
      <c r="M17" s="11"/>
      <c r="N17" s="11"/>
      <c r="O17" s="11"/>
    </row>
    <row r="18" customFormat="false" ht="15" hidden="false" customHeight="true" outlineLevel="0" collapsed="false">
      <c r="A18" s="11" t="s">
        <v>41</v>
      </c>
      <c r="B18" s="11"/>
      <c r="C18" s="11"/>
      <c r="D18" s="11"/>
      <c r="E18" s="11"/>
      <c r="F18" s="11"/>
      <c r="G18" s="11"/>
      <c r="H18" s="11"/>
      <c r="I18" s="11"/>
      <c r="J18" s="11"/>
      <c r="K18" s="11"/>
      <c r="L18" s="11"/>
      <c r="M18" s="11"/>
      <c r="N18" s="11"/>
      <c r="O18" s="11"/>
    </row>
  </sheetData>
  <mergeCells count="4">
    <mergeCell ref="A1:O1"/>
    <mergeCell ref="A16:O16"/>
    <mergeCell ref="A17:O17"/>
    <mergeCell ref="A18:O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7" min="2" style="0" width="14"/>
  </cols>
  <sheetData>
    <row r="1" customFormat="false" ht="25.5" hidden="false" customHeight="true" outlineLevel="0" collapsed="false">
      <c r="A1" s="1" t="s">
        <v>42</v>
      </c>
      <c r="B1" s="1"/>
      <c r="C1" s="1"/>
      <c r="D1" s="1"/>
      <c r="E1" s="1"/>
      <c r="F1" s="1"/>
      <c r="G1" s="1"/>
    </row>
    <row r="3" customFormat="false" ht="15" hidden="false" customHeight="false" outlineLevel="0" collapsed="false">
      <c r="A3" s="12" t="s">
        <v>43</v>
      </c>
    </row>
    <row r="4" customFormat="false" ht="15" hidden="false" customHeight="false" outlineLevel="0" collapsed="false">
      <c r="A4" s="2"/>
      <c r="B4" s="2" t="s">
        <v>44</v>
      </c>
      <c r="C4" s="2" t="s">
        <v>6</v>
      </c>
      <c r="D4" s="2" t="s">
        <v>7</v>
      </c>
      <c r="E4" s="2" t="s">
        <v>45</v>
      </c>
    </row>
    <row r="5" customFormat="false" ht="15" hidden="false" customHeight="false" outlineLevel="0" collapsed="false">
      <c r="A5" s="4" t="s">
        <v>46</v>
      </c>
      <c r="B5" s="3" t="n">
        <v>38</v>
      </c>
      <c r="C5" s="3" t="n">
        <v>7</v>
      </c>
      <c r="D5" s="3" t="n">
        <v>31</v>
      </c>
      <c r="E5" s="5" t="n">
        <f aca="false">C5/B5</f>
        <v>0.184210526315789</v>
      </c>
    </row>
    <row r="6" customFormat="false" ht="15" hidden="false" customHeight="false" outlineLevel="0" collapsed="false">
      <c r="A6" s="4" t="s">
        <v>47</v>
      </c>
      <c r="B6" s="3" t="n">
        <v>23</v>
      </c>
      <c r="C6" s="3" t="n">
        <v>3</v>
      </c>
      <c r="D6" s="3" t="n">
        <v>20</v>
      </c>
      <c r="E6" s="5" t="n">
        <f aca="false">C6/B6</f>
        <v>0.130434782608696</v>
      </c>
    </row>
    <row r="7" customFormat="false" ht="26.85" hidden="false" customHeight="false" outlineLevel="0" collapsed="false">
      <c r="A7" s="4" t="s">
        <v>48</v>
      </c>
      <c r="B7" s="3" t="n">
        <v>21</v>
      </c>
      <c r="C7" s="3" t="n">
        <v>3</v>
      </c>
      <c r="D7" s="3" t="n">
        <v>18</v>
      </c>
      <c r="E7" s="5" t="n">
        <f aca="false">C7/B7</f>
        <v>0.142857142857143</v>
      </c>
    </row>
    <row r="8" customFormat="false" ht="26.85" hidden="false" customHeight="false" outlineLevel="0" collapsed="false">
      <c r="A8" s="4" t="s">
        <v>49</v>
      </c>
      <c r="B8" s="3" t="n">
        <v>3</v>
      </c>
      <c r="C8" s="3" t="n">
        <v>0</v>
      </c>
      <c r="D8" s="3" t="n">
        <v>3</v>
      </c>
      <c r="E8" s="5" t="n">
        <f aca="false">C8/B8</f>
        <v>0</v>
      </c>
    </row>
    <row r="9" customFormat="false" ht="15" hidden="false" customHeight="false" outlineLevel="0" collapsed="false">
      <c r="A9" s="4" t="s">
        <v>50</v>
      </c>
      <c r="B9" s="3" t="n">
        <v>3</v>
      </c>
      <c r="C9" s="3" t="n">
        <v>0</v>
      </c>
      <c r="D9" s="3" t="n">
        <v>3</v>
      </c>
      <c r="E9" s="5" t="n">
        <f aca="false">C9/B9</f>
        <v>0</v>
      </c>
    </row>
    <row r="10" customFormat="false" ht="26.85" hidden="false" customHeight="false" outlineLevel="0" collapsed="false">
      <c r="A10" s="4" t="s">
        <v>51</v>
      </c>
      <c r="B10" s="3" t="n">
        <v>1</v>
      </c>
      <c r="C10" s="3" t="n">
        <v>0</v>
      </c>
      <c r="D10" s="3" t="n">
        <v>1</v>
      </c>
      <c r="E10" s="5" t="n">
        <f aca="false">C10/B10</f>
        <v>0</v>
      </c>
    </row>
    <row r="13" customFormat="false" ht="15" hidden="false" customHeight="false" outlineLevel="0" collapsed="false">
      <c r="A13" s="12" t="s">
        <v>52</v>
      </c>
    </row>
    <row r="14" customFormat="false" ht="26.85" hidden="false" customHeight="false" outlineLevel="0" collapsed="false">
      <c r="A14" s="2" t="s">
        <v>53</v>
      </c>
      <c r="B14" s="2" t="s">
        <v>54</v>
      </c>
      <c r="C14" s="2" t="s">
        <v>55</v>
      </c>
      <c r="D14" s="2" t="s">
        <v>56</v>
      </c>
    </row>
    <row r="15" customFormat="false" ht="15" hidden="false" customHeight="false" outlineLevel="0" collapsed="false">
      <c r="A15" s="4" t="s">
        <v>57</v>
      </c>
      <c r="B15" s="13" t="n">
        <v>6</v>
      </c>
      <c r="C15" s="13" t="n">
        <v>5.67</v>
      </c>
      <c r="D15" s="13" t="n">
        <f aca="false">B15-C15</f>
        <v>0.33</v>
      </c>
    </row>
    <row r="16" customFormat="false" ht="15" hidden="false" customHeight="false" outlineLevel="0" collapsed="false">
      <c r="A16" s="4" t="s">
        <v>58</v>
      </c>
      <c r="B16" s="13" t="n">
        <v>0.33</v>
      </c>
      <c r="C16" s="13" t="n">
        <v>0.86</v>
      </c>
      <c r="D16" s="13" t="n">
        <f aca="false">B16-C16</f>
        <v>-0.53</v>
      </c>
    </row>
    <row r="17" customFormat="false" ht="15" hidden="false" customHeight="false" outlineLevel="0" collapsed="false">
      <c r="A17" s="4" t="s">
        <v>59</v>
      </c>
      <c r="B17" s="13" t="n">
        <v>1</v>
      </c>
      <c r="C17" s="13" t="n">
        <v>0.17</v>
      </c>
      <c r="D17" s="13" t="n">
        <f aca="false">B17-C17</f>
        <v>0.83</v>
      </c>
    </row>
    <row r="18" customFormat="false" ht="15" hidden="false" customHeight="false" outlineLevel="0" collapsed="false">
      <c r="A18" s="4" t="s">
        <v>60</v>
      </c>
      <c r="B18" s="13" t="n">
        <v>0.33</v>
      </c>
      <c r="C18" s="13" t="n">
        <v>0.19</v>
      </c>
      <c r="D18" s="13" t="n">
        <f aca="false">B18-C18</f>
        <v>0.14</v>
      </c>
    </row>
    <row r="19" customFormat="false" ht="15" hidden="false" customHeight="false" outlineLevel="0" collapsed="false">
      <c r="A19" s="4" t="s">
        <v>61</v>
      </c>
      <c r="B19" s="13" t="n">
        <v>10.67</v>
      </c>
      <c r="C19" s="13" t="n">
        <v>11.78</v>
      </c>
      <c r="D19" s="13" t="n">
        <f aca="false">B19-C19</f>
        <v>-1.11</v>
      </c>
    </row>
    <row r="20" customFormat="false" ht="15" hidden="false" customHeight="false" outlineLevel="0" collapsed="false">
      <c r="A20" s="14" t="s">
        <v>62</v>
      </c>
      <c r="B20" s="15" t="n">
        <v>18.33</v>
      </c>
      <c r="C20" s="15" t="n">
        <v>18.67</v>
      </c>
      <c r="D20" s="15" t="n">
        <f aca="false">B20-C20</f>
        <v>-0.340000000000003</v>
      </c>
    </row>
    <row r="33" customFormat="false" ht="15" hidden="false" customHeight="false" outlineLevel="0" collapsed="false">
      <c r="A33" s="12" t="s">
        <v>63</v>
      </c>
    </row>
    <row r="34" customFormat="false" ht="26.85" hidden="false" customHeight="false" outlineLevel="0" collapsed="false">
      <c r="A34" s="2" t="s">
        <v>1</v>
      </c>
      <c r="B34" s="2" t="s">
        <v>64</v>
      </c>
      <c r="C34" s="2" t="s">
        <v>65</v>
      </c>
      <c r="D34" s="2" t="s">
        <v>66</v>
      </c>
      <c r="E34" s="2" t="s">
        <v>67</v>
      </c>
      <c r="F34" s="2" t="s">
        <v>68</v>
      </c>
    </row>
    <row r="35" customFormat="false" ht="15" hidden="false" customHeight="false" outlineLevel="0" collapsed="false">
      <c r="A35" s="3" t="s">
        <v>69</v>
      </c>
      <c r="B35" s="3" t="s">
        <v>70</v>
      </c>
      <c r="C35" s="13" t="n">
        <v>9.15</v>
      </c>
      <c r="D35" s="13" t="n">
        <v>6.35</v>
      </c>
      <c r="E35" s="13" t="n">
        <v>15.5</v>
      </c>
      <c r="F35" s="13" t="n">
        <v>41.5</v>
      </c>
    </row>
    <row r="36" customFormat="false" ht="15" hidden="false" customHeight="false" outlineLevel="0" collapsed="false">
      <c r="A36" s="3" t="s">
        <v>71</v>
      </c>
      <c r="B36" s="3" t="s">
        <v>70</v>
      </c>
      <c r="C36" s="13" t="n">
        <v>8.1</v>
      </c>
      <c r="D36" s="13" t="n">
        <v>5.25</v>
      </c>
      <c r="E36" s="13" t="n">
        <v>13.35</v>
      </c>
      <c r="F36" s="13" t="n">
        <v>37.35</v>
      </c>
    </row>
    <row r="37" customFormat="false" ht="15" hidden="false" customHeight="false" outlineLevel="0" collapsed="false">
      <c r="A37" s="3" t="s">
        <v>72</v>
      </c>
      <c r="B37" s="3" t="s">
        <v>70</v>
      </c>
      <c r="C37" s="13" t="n">
        <v>7.55</v>
      </c>
      <c r="D37" s="13" t="n">
        <v>6.05</v>
      </c>
      <c r="E37" s="13" t="n">
        <v>13.6</v>
      </c>
      <c r="F37" s="13" t="n">
        <v>37.1</v>
      </c>
    </row>
    <row r="40" customFormat="false" ht="15" hidden="false" customHeight="false" outlineLevel="0" collapsed="false">
      <c r="A40" s="12" t="s">
        <v>73</v>
      </c>
    </row>
    <row r="41" customFormat="false" ht="15" hidden="false" customHeight="false" outlineLevel="0" collapsed="false">
      <c r="A41" s="4" t="s">
        <v>74</v>
      </c>
      <c r="B41" s="16" t="s">
        <v>75</v>
      </c>
    </row>
    <row r="42" customFormat="false" ht="15" hidden="false" customHeight="false" outlineLevel="0" collapsed="false">
      <c r="A42" s="4" t="s">
        <v>76</v>
      </c>
      <c r="B42" s="3" t="n">
        <v>41.5</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7" min="2" style="0" width="14"/>
  </cols>
  <sheetData>
    <row r="1" customFormat="false" ht="25.5" hidden="false" customHeight="true" outlineLevel="0" collapsed="false">
      <c r="A1" s="1" t="s">
        <v>77</v>
      </c>
      <c r="B1" s="1"/>
      <c r="C1" s="1"/>
      <c r="D1" s="1"/>
      <c r="E1" s="1"/>
      <c r="F1" s="1"/>
      <c r="G1" s="1"/>
    </row>
    <row r="3" customFormat="false" ht="15" hidden="false" customHeight="false" outlineLevel="0" collapsed="false">
      <c r="A3" s="12" t="s">
        <v>43</v>
      </c>
    </row>
    <row r="4" customFormat="false" ht="15" hidden="false" customHeight="false" outlineLevel="0" collapsed="false">
      <c r="A4" s="2"/>
      <c r="B4" s="2" t="s">
        <v>44</v>
      </c>
      <c r="C4" s="2" t="s">
        <v>6</v>
      </c>
      <c r="D4" s="2" t="s">
        <v>7</v>
      </c>
      <c r="E4" s="2" t="s">
        <v>45</v>
      </c>
    </row>
    <row r="5" customFormat="false" ht="15" hidden="false" customHeight="false" outlineLevel="0" collapsed="false">
      <c r="A5" s="4" t="s">
        <v>46</v>
      </c>
      <c r="B5" s="3" t="n">
        <v>23</v>
      </c>
      <c r="C5" s="3" t="n">
        <v>4</v>
      </c>
      <c r="D5" s="3" t="n">
        <v>19</v>
      </c>
      <c r="E5" s="5" t="n">
        <f aca="false">C5/B5</f>
        <v>0.173913043478261</v>
      </c>
    </row>
    <row r="6" customFormat="false" ht="15" hidden="false" customHeight="false" outlineLevel="0" collapsed="false">
      <c r="A6" s="4" t="s">
        <v>47</v>
      </c>
      <c r="B6" s="3" t="n">
        <v>23</v>
      </c>
      <c r="C6" s="3" t="n">
        <v>4</v>
      </c>
      <c r="D6" s="3" t="n">
        <v>19</v>
      </c>
      <c r="E6" s="5" t="n">
        <f aca="false">C6/B6</f>
        <v>0.173913043478261</v>
      </c>
    </row>
    <row r="7" customFormat="false" ht="26.85" hidden="false" customHeight="false" outlineLevel="0" collapsed="false">
      <c r="A7" s="4" t="s">
        <v>48</v>
      </c>
      <c r="B7" s="3" t="n">
        <v>22</v>
      </c>
      <c r="C7" s="3" t="n">
        <v>4</v>
      </c>
      <c r="D7" s="3" t="n">
        <v>18</v>
      </c>
      <c r="E7" s="5" t="n">
        <f aca="false">C7/B7</f>
        <v>0.181818181818182</v>
      </c>
    </row>
    <row r="8" customFormat="false" ht="26.85" hidden="false" customHeight="false" outlineLevel="0" collapsed="false">
      <c r="A8" s="4" t="s">
        <v>49</v>
      </c>
      <c r="B8" s="3" t="n">
        <v>16</v>
      </c>
      <c r="C8" s="3" t="n">
        <v>2</v>
      </c>
      <c r="D8" s="3" t="n">
        <v>14</v>
      </c>
      <c r="E8" s="5" t="n">
        <f aca="false">C8/B8</f>
        <v>0.125</v>
      </c>
    </row>
    <row r="9" customFormat="false" ht="15" hidden="false" customHeight="false" outlineLevel="0" collapsed="false">
      <c r="A9" s="4" t="s">
        <v>50</v>
      </c>
      <c r="B9" s="3" t="n">
        <v>10</v>
      </c>
      <c r="C9" s="3" t="n">
        <v>0</v>
      </c>
      <c r="D9" s="3" t="n">
        <v>10</v>
      </c>
      <c r="E9" s="5" t="n">
        <f aca="false">C9/B9</f>
        <v>0</v>
      </c>
    </row>
    <row r="10" customFormat="false" ht="26.85" hidden="false" customHeight="false" outlineLevel="0" collapsed="false">
      <c r="A10" s="4" t="s">
        <v>51</v>
      </c>
      <c r="B10" s="3" t="n">
        <v>2</v>
      </c>
      <c r="C10" s="3" t="n">
        <v>0</v>
      </c>
      <c r="D10" s="3" t="n">
        <v>2</v>
      </c>
      <c r="E10" s="5" t="n">
        <f aca="false">C10/B10</f>
        <v>0</v>
      </c>
    </row>
    <row r="13" customFormat="false" ht="15" hidden="false" customHeight="false" outlineLevel="0" collapsed="false">
      <c r="A13" s="12" t="s">
        <v>63</v>
      </c>
    </row>
    <row r="14" customFormat="false" ht="26.85" hidden="false" customHeight="false" outlineLevel="0" collapsed="false">
      <c r="A14" s="2" t="s">
        <v>1</v>
      </c>
      <c r="B14" s="2" t="s">
        <v>64</v>
      </c>
      <c r="C14" s="2" t="s">
        <v>65</v>
      </c>
      <c r="D14" s="2" t="s">
        <v>66</v>
      </c>
      <c r="E14" s="2" t="s">
        <v>67</v>
      </c>
      <c r="F14" s="2" t="s">
        <v>68</v>
      </c>
    </row>
    <row r="15" customFormat="false" ht="15" hidden="false" customHeight="false" outlineLevel="0" collapsed="false">
      <c r="A15" s="3" t="s">
        <v>78</v>
      </c>
      <c r="B15" s="3" t="s">
        <v>70</v>
      </c>
      <c r="C15" s="3" t="s">
        <v>33</v>
      </c>
      <c r="D15" s="3" t="s">
        <v>33</v>
      </c>
      <c r="E15" s="3" t="s">
        <v>33</v>
      </c>
      <c r="F15" s="13" t="n">
        <v>37.37</v>
      </c>
    </row>
    <row r="16" customFormat="false" ht="15" hidden="false" customHeight="false" outlineLevel="0" collapsed="false">
      <c r="A16" s="3" t="s">
        <v>79</v>
      </c>
      <c r="B16" s="3" t="s">
        <v>70</v>
      </c>
      <c r="C16" s="3" t="s">
        <v>33</v>
      </c>
      <c r="D16" s="3" t="s">
        <v>33</v>
      </c>
      <c r="E16" s="3" t="s">
        <v>33</v>
      </c>
      <c r="F16" s="13" t="n">
        <v>36.71</v>
      </c>
    </row>
    <row r="19" customFormat="false" ht="15" hidden="false" customHeight="false" outlineLevel="0" collapsed="false">
      <c r="A19" s="12" t="s">
        <v>73</v>
      </c>
    </row>
    <row r="20" customFormat="false" ht="15" hidden="false" customHeight="false" outlineLevel="0" collapsed="false">
      <c r="A20" s="4" t="s">
        <v>74</v>
      </c>
      <c r="B20" s="16" t="s">
        <v>80</v>
      </c>
    </row>
    <row r="21" customFormat="false" ht="15" hidden="false" customHeight="false" outlineLevel="0" collapsed="false">
      <c r="A21" s="4" t="s">
        <v>76</v>
      </c>
      <c r="B21" s="3" t="n">
        <v>37.37</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7" min="2" style="0" width="14"/>
  </cols>
  <sheetData>
    <row r="1" customFormat="false" ht="25.5" hidden="false" customHeight="true" outlineLevel="0" collapsed="false">
      <c r="A1" s="1" t="s">
        <v>81</v>
      </c>
      <c r="B1" s="1"/>
      <c r="C1" s="1"/>
      <c r="D1" s="1"/>
      <c r="E1" s="1"/>
      <c r="F1" s="1"/>
      <c r="G1" s="1"/>
    </row>
    <row r="3" customFormat="false" ht="15" hidden="false" customHeight="false" outlineLevel="0" collapsed="false">
      <c r="A3" s="12" t="s">
        <v>43</v>
      </c>
    </row>
    <row r="4" customFormat="false" ht="15" hidden="false" customHeight="false" outlineLevel="0" collapsed="false">
      <c r="A4" s="2"/>
      <c r="B4" s="2" t="s">
        <v>44</v>
      </c>
      <c r="C4" s="2" t="s">
        <v>6</v>
      </c>
      <c r="D4" s="2" t="s">
        <v>7</v>
      </c>
      <c r="E4" s="2" t="s">
        <v>45</v>
      </c>
    </row>
    <row r="5" customFormat="false" ht="15" hidden="false" customHeight="false" outlineLevel="0" collapsed="false">
      <c r="A5" s="4" t="s">
        <v>46</v>
      </c>
      <c r="B5" s="3" t="n">
        <v>26</v>
      </c>
      <c r="C5" s="3" t="n">
        <v>12</v>
      </c>
      <c r="D5" s="3" t="n">
        <v>14</v>
      </c>
      <c r="E5" s="5" t="n">
        <f aca="false">C5/B5</f>
        <v>0.461538461538462</v>
      </c>
    </row>
    <row r="6" customFormat="false" ht="15" hidden="false" customHeight="false" outlineLevel="0" collapsed="false">
      <c r="A6" s="4" t="s">
        <v>47</v>
      </c>
      <c r="B6" s="3" t="n">
        <v>26</v>
      </c>
      <c r="C6" s="3" t="n">
        <v>12</v>
      </c>
      <c r="D6" s="3" t="n">
        <v>14</v>
      </c>
      <c r="E6" s="5" t="n">
        <f aca="false">C6/B6</f>
        <v>0.461538461538462</v>
      </c>
    </row>
    <row r="7" customFormat="false" ht="26.85" hidden="false" customHeight="false" outlineLevel="0" collapsed="false">
      <c r="A7" s="4" t="s">
        <v>48</v>
      </c>
      <c r="B7" s="3" t="s">
        <v>33</v>
      </c>
      <c r="C7" s="3" t="s">
        <v>33</v>
      </c>
      <c r="D7" s="3" t="s">
        <v>33</v>
      </c>
      <c r="E7" s="3" t="s">
        <v>33</v>
      </c>
    </row>
    <row r="8" customFormat="false" ht="26.85" hidden="false" customHeight="false" outlineLevel="0" collapsed="false">
      <c r="A8" s="4" t="s">
        <v>49</v>
      </c>
      <c r="B8" s="3" t="n">
        <v>12</v>
      </c>
      <c r="C8" s="3" t="n">
        <v>4</v>
      </c>
      <c r="D8" s="3" t="n">
        <v>8</v>
      </c>
      <c r="E8" s="5" t="n">
        <f aca="false">C8/B8</f>
        <v>0.333333333333333</v>
      </c>
    </row>
    <row r="9" customFormat="false" ht="15" hidden="false" customHeight="false" outlineLevel="0" collapsed="false">
      <c r="A9" s="4" t="s">
        <v>50</v>
      </c>
      <c r="B9" s="3" t="n">
        <v>10</v>
      </c>
      <c r="C9" s="3" t="n">
        <v>3</v>
      </c>
      <c r="D9" s="3" t="n">
        <v>7</v>
      </c>
      <c r="E9" s="5" t="n">
        <f aca="false">C9/B9</f>
        <v>0.3</v>
      </c>
    </row>
    <row r="10" customFormat="false" ht="26.85" hidden="false" customHeight="false" outlineLevel="0" collapsed="false">
      <c r="A10" s="4" t="s">
        <v>51</v>
      </c>
      <c r="B10" s="3" t="n">
        <v>2</v>
      </c>
      <c r="C10" s="3" t="n">
        <v>1</v>
      </c>
      <c r="D10" s="3" t="n">
        <v>1</v>
      </c>
      <c r="E10" s="5" t="n">
        <f aca="false">C10/B10</f>
        <v>0.5</v>
      </c>
    </row>
    <row r="13" customFormat="false" ht="15" hidden="false" customHeight="false" outlineLevel="0" collapsed="false">
      <c r="A13" s="12" t="s">
        <v>63</v>
      </c>
    </row>
    <row r="14" customFormat="false" ht="26.85" hidden="false" customHeight="false" outlineLevel="0" collapsed="false">
      <c r="A14" s="2" t="s">
        <v>1</v>
      </c>
      <c r="B14" s="2" t="s">
        <v>64</v>
      </c>
      <c r="C14" s="2" t="s">
        <v>65</v>
      </c>
      <c r="D14" s="2" t="s">
        <v>66</v>
      </c>
      <c r="E14" s="2" t="s">
        <v>67</v>
      </c>
      <c r="F14" s="2" t="s">
        <v>68</v>
      </c>
    </row>
    <row r="15" customFormat="false" ht="15" hidden="false" customHeight="false" outlineLevel="0" collapsed="false">
      <c r="A15" s="3" t="s">
        <v>82</v>
      </c>
      <c r="B15" s="3" t="s">
        <v>83</v>
      </c>
      <c r="C15" s="3" t="s">
        <v>33</v>
      </c>
      <c r="D15" s="3" t="s">
        <v>33</v>
      </c>
      <c r="E15" s="3" t="s">
        <v>33</v>
      </c>
      <c r="F15" s="13" t="n">
        <v>41.35</v>
      </c>
    </row>
    <row r="16" customFormat="false" ht="15" hidden="false" customHeight="false" outlineLevel="0" collapsed="false">
      <c r="A16" s="3" t="s">
        <v>84</v>
      </c>
      <c r="B16" s="3" t="s">
        <v>70</v>
      </c>
      <c r="C16" s="3" t="s">
        <v>33</v>
      </c>
      <c r="D16" s="3" t="s">
        <v>33</v>
      </c>
      <c r="E16" s="3" t="s">
        <v>33</v>
      </c>
      <c r="F16" s="13" t="n">
        <v>40.6</v>
      </c>
    </row>
    <row r="19" customFormat="false" ht="15" hidden="false" customHeight="false" outlineLevel="0" collapsed="false">
      <c r="A19" s="12" t="s">
        <v>73</v>
      </c>
    </row>
    <row r="20" customFormat="false" ht="15" hidden="false" customHeight="false" outlineLevel="0" collapsed="false">
      <c r="A20" s="4" t="s">
        <v>74</v>
      </c>
      <c r="B20" s="16" t="s">
        <v>85</v>
      </c>
    </row>
    <row r="21" customFormat="false" ht="15" hidden="false" customHeight="false" outlineLevel="0" collapsed="false">
      <c r="A21" s="4" t="s">
        <v>76</v>
      </c>
      <c r="B21" s="3" t="n">
        <v>41.35</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7" min="2" style="0" width="14"/>
  </cols>
  <sheetData>
    <row r="1" customFormat="false" ht="25.5" hidden="false" customHeight="true" outlineLevel="0" collapsed="false">
      <c r="A1" s="1" t="s">
        <v>86</v>
      </c>
      <c r="B1" s="1"/>
      <c r="C1" s="1"/>
      <c r="D1" s="1"/>
      <c r="E1" s="1"/>
      <c r="F1" s="1"/>
      <c r="G1" s="1"/>
    </row>
    <row r="3" customFormat="false" ht="15" hidden="false" customHeight="false" outlineLevel="0" collapsed="false">
      <c r="A3" s="12" t="s">
        <v>43</v>
      </c>
    </row>
    <row r="4" customFormat="false" ht="15" hidden="false" customHeight="false" outlineLevel="0" collapsed="false">
      <c r="A4" s="2"/>
      <c r="B4" s="2" t="s">
        <v>44</v>
      </c>
      <c r="C4" s="2" t="s">
        <v>6</v>
      </c>
      <c r="D4" s="2" t="s">
        <v>7</v>
      </c>
      <c r="E4" s="2" t="s">
        <v>45</v>
      </c>
    </row>
    <row r="5" customFormat="false" ht="15" hidden="false" customHeight="false" outlineLevel="0" collapsed="false">
      <c r="A5" s="4" t="s">
        <v>46</v>
      </c>
      <c r="B5" s="3" t="n">
        <v>19</v>
      </c>
      <c r="C5" s="3" t="n">
        <v>19</v>
      </c>
      <c r="D5" s="3" t="n">
        <v>0</v>
      </c>
      <c r="E5" s="5" t="n">
        <f aca="false">C5/B5</f>
        <v>1</v>
      </c>
    </row>
    <row r="6" customFormat="false" ht="15" hidden="false" customHeight="false" outlineLevel="0" collapsed="false">
      <c r="A6" s="4" t="s">
        <v>47</v>
      </c>
      <c r="B6" s="3" t="n">
        <v>19</v>
      </c>
      <c r="C6" s="3" t="n">
        <v>19</v>
      </c>
      <c r="D6" s="3" t="n">
        <v>0</v>
      </c>
      <c r="E6" s="5" t="n">
        <f aca="false">C6/B6</f>
        <v>1</v>
      </c>
    </row>
    <row r="7" customFormat="false" ht="26.85" hidden="false" customHeight="false" outlineLevel="0" collapsed="false">
      <c r="A7" s="4" t="s">
        <v>48</v>
      </c>
      <c r="B7" s="3" t="n">
        <v>4</v>
      </c>
      <c r="C7" s="3" t="n">
        <v>4</v>
      </c>
      <c r="D7" s="3" t="n">
        <v>0</v>
      </c>
      <c r="E7" s="5" t="n">
        <f aca="false">C7/B7</f>
        <v>1</v>
      </c>
    </row>
    <row r="8" customFormat="false" ht="26.85" hidden="false" customHeight="false" outlineLevel="0" collapsed="false">
      <c r="A8" s="4" t="s">
        <v>49</v>
      </c>
      <c r="B8" s="3" t="n">
        <v>3</v>
      </c>
      <c r="C8" s="3" t="n">
        <v>3</v>
      </c>
      <c r="D8" s="3" t="n">
        <v>0</v>
      </c>
      <c r="E8" s="5" t="n">
        <f aca="false">C8/B8</f>
        <v>1</v>
      </c>
    </row>
    <row r="9" customFormat="false" ht="15" hidden="false" customHeight="false" outlineLevel="0" collapsed="false">
      <c r="A9" s="4" t="s">
        <v>50</v>
      </c>
      <c r="B9" s="3" t="n">
        <v>3</v>
      </c>
      <c r="C9" s="3" t="n">
        <v>3</v>
      </c>
      <c r="D9" s="3" t="n">
        <v>0</v>
      </c>
      <c r="E9" s="5" t="n">
        <f aca="false">C9/B9</f>
        <v>1</v>
      </c>
    </row>
    <row r="10" customFormat="false" ht="26.85" hidden="false" customHeight="false" outlineLevel="0" collapsed="false">
      <c r="A10" s="4" t="s">
        <v>51</v>
      </c>
      <c r="B10" s="3" t="n">
        <v>1</v>
      </c>
      <c r="C10" s="3" t="n">
        <v>1</v>
      </c>
      <c r="D10" s="3" t="n">
        <v>0</v>
      </c>
      <c r="E10" s="5" t="n">
        <f aca="false">C10/B10</f>
        <v>1</v>
      </c>
    </row>
    <row r="13" customFormat="false" ht="15" hidden="false" customHeight="false" outlineLevel="0" collapsed="false">
      <c r="A13" s="12" t="s">
        <v>63</v>
      </c>
    </row>
    <row r="14" customFormat="false" ht="26.85" hidden="false" customHeight="false" outlineLevel="0" collapsed="false">
      <c r="A14" s="2" t="s">
        <v>1</v>
      </c>
      <c r="B14" s="2" t="s">
        <v>64</v>
      </c>
      <c r="C14" s="2" t="s">
        <v>65</v>
      </c>
      <c r="D14" s="2" t="s">
        <v>66</v>
      </c>
      <c r="E14" s="2" t="s">
        <v>67</v>
      </c>
      <c r="F14" s="2" t="s">
        <v>68</v>
      </c>
    </row>
    <row r="15" customFormat="false" ht="15" hidden="false" customHeight="false" outlineLevel="0" collapsed="false">
      <c r="A15" s="3" t="s">
        <v>87</v>
      </c>
      <c r="B15" s="3" t="s">
        <v>83</v>
      </c>
      <c r="C15" s="3" t="s">
        <v>33</v>
      </c>
      <c r="D15" s="3" t="s">
        <v>33</v>
      </c>
      <c r="E15" s="3" t="s">
        <v>33</v>
      </c>
      <c r="F15" s="13" t="n">
        <v>29.9</v>
      </c>
    </row>
    <row r="18" customFormat="false" ht="15" hidden="false" customHeight="false" outlineLevel="0" collapsed="false">
      <c r="A18" s="12" t="s">
        <v>73</v>
      </c>
    </row>
    <row r="19" customFormat="false" ht="15" hidden="false" customHeight="false" outlineLevel="0" collapsed="false">
      <c r="A19" s="4" t="s">
        <v>74</v>
      </c>
      <c r="B19" s="16" t="s">
        <v>88</v>
      </c>
    </row>
    <row r="20" customFormat="false" ht="15" hidden="false" customHeight="false" outlineLevel="0" collapsed="false">
      <c r="A20" s="4" t="s">
        <v>76</v>
      </c>
      <c r="B20" s="3" t="n">
        <v>29.9</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7" min="2" style="0" width="14"/>
  </cols>
  <sheetData>
    <row r="1" customFormat="false" ht="25.5" hidden="false" customHeight="true" outlineLevel="0" collapsed="false">
      <c r="A1" s="1" t="s">
        <v>89</v>
      </c>
      <c r="B1" s="1"/>
      <c r="C1" s="1"/>
      <c r="D1" s="1"/>
      <c r="E1" s="1"/>
      <c r="F1" s="1"/>
      <c r="G1" s="1"/>
    </row>
    <row r="3" customFormat="false" ht="15" hidden="false" customHeight="false" outlineLevel="0" collapsed="false">
      <c r="A3" s="12" t="s">
        <v>90</v>
      </c>
    </row>
    <row r="4" customFormat="false" ht="15" hidden="false" customHeight="false" outlineLevel="0" collapsed="false">
      <c r="A4" s="2"/>
      <c r="B4" s="2" t="s">
        <v>44</v>
      </c>
      <c r="C4" s="2" t="s">
        <v>6</v>
      </c>
      <c r="D4" s="2" t="s">
        <v>7</v>
      </c>
      <c r="E4" s="2" t="s">
        <v>45</v>
      </c>
    </row>
    <row r="5" customFormat="false" ht="15" hidden="false" customHeight="false" outlineLevel="0" collapsed="false">
      <c r="A5" s="4" t="s">
        <v>91</v>
      </c>
      <c r="B5" s="3" t="n">
        <v>1</v>
      </c>
      <c r="C5" s="3" t="n">
        <v>1</v>
      </c>
      <c r="D5" s="3" t="n">
        <v>0</v>
      </c>
      <c r="E5" s="5" t="n">
        <f aca="false">C5/B5</f>
        <v>1</v>
      </c>
    </row>
    <row r="6" customFormat="false" ht="26.85" hidden="false" customHeight="false" outlineLevel="0" collapsed="false">
      <c r="A6" s="4" t="s">
        <v>92</v>
      </c>
      <c r="B6" s="3" t="n">
        <v>1</v>
      </c>
      <c r="C6" s="3" t="n">
        <v>1</v>
      </c>
      <c r="D6" s="3" t="n">
        <v>0</v>
      </c>
      <c r="E6" s="5" t="n">
        <f aca="false">C6/B6</f>
        <v>1</v>
      </c>
    </row>
    <row r="7" customFormat="false" ht="26.85" hidden="false" customHeight="false" outlineLevel="0" collapsed="false">
      <c r="A7" s="4" t="s">
        <v>93</v>
      </c>
      <c r="B7" s="3" t="n">
        <v>1</v>
      </c>
      <c r="C7" s="3" t="n">
        <v>1</v>
      </c>
      <c r="D7" s="3" t="n">
        <v>0</v>
      </c>
      <c r="E7" s="5" t="n">
        <f aca="false">C7/B7</f>
        <v>1</v>
      </c>
    </row>
    <row r="10" customFormat="false" ht="15" hidden="false" customHeight="false" outlineLevel="0" collapsed="false">
      <c r="A10" s="4" t="s">
        <v>94</v>
      </c>
      <c r="B10" s="16" t="s">
        <v>95</v>
      </c>
    </row>
    <row r="11" customFormat="false" ht="15" hidden="false" customHeight="false" outlineLevel="0" collapsed="false">
      <c r="A11" s="4" t="s">
        <v>96</v>
      </c>
      <c r="B11" s="3" t="n">
        <v>9.3</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7" min="2" style="0" width="14"/>
  </cols>
  <sheetData>
    <row r="1" customFormat="false" ht="25.5" hidden="false" customHeight="true" outlineLevel="0" collapsed="false">
      <c r="A1" s="1" t="s">
        <v>97</v>
      </c>
      <c r="B1" s="1"/>
      <c r="C1" s="1"/>
      <c r="D1" s="1"/>
      <c r="E1" s="1"/>
      <c r="F1" s="1"/>
      <c r="G1" s="1"/>
    </row>
    <row r="3" customFormat="false" ht="15" hidden="false" customHeight="false" outlineLevel="0" collapsed="false">
      <c r="A3" s="12" t="s">
        <v>90</v>
      </c>
    </row>
    <row r="4" customFormat="false" ht="15" hidden="false" customHeight="false" outlineLevel="0" collapsed="false">
      <c r="A4" s="2"/>
      <c r="B4" s="2" t="s">
        <v>44</v>
      </c>
      <c r="C4" s="2" t="s">
        <v>6</v>
      </c>
      <c r="D4" s="2" t="s">
        <v>7</v>
      </c>
      <c r="E4" s="2" t="s">
        <v>45</v>
      </c>
    </row>
    <row r="5" customFormat="false" ht="15" hidden="false" customHeight="false" outlineLevel="0" collapsed="false">
      <c r="A5" s="4" t="s">
        <v>91</v>
      </c>
      <c r="B5" s="3" t="n">
        <v>4</v>
      </c>
      <c r="C5" s="3" t="n">
        <v>2</v>
      </c>
      <c r="D5" s="3" t="n">
        <v>2</v>
      </c>
      <c r="E5" s="5" t="n">
        <f aca="false">C5/B5</f>
        <v>0.5</v>
      </c>
    </row>
    <row r="6" customFormat="false" ht="26.85" hidden="false" customHeight="false" outlineLevel="0" collapsed="false">
      <c r="A6" s="4" t="s">
        <v>92</v>
      </c>
      <c r="B6" s="3" t="n">
        <v>4</v>
      </c>
      <c r="C6" s="3" t="n">
        <v>2</v>
      </c>
      <c r="D6" s="3" t="n">
        <v>2</v>
      </c>
      <c r="E6" s="5" t="n">
        <f aca="false">C6/B6</f>
        <v>0.5</v>
      </c>
    </row>
    <row r="7" customFormat="false" ht="26.85" hidden="false" customHeight="false" outlineLevel="0" collapsed="false">
      <c r="A7" s="4" t="s">
        <v>93</v>
      </c>
      <c r="B7" s="3" t="n">
        <v>1</v>
      </c>
      <c r="C7" s="3" t="n">
        <v>0</v>
      </c>
      <c r="D7" s="3" t="n">
        <v>1</v>
      </c>
      <c r="E7" s="5" t="n">
        <f aca="false">C7/B7</f>
        <v>0</v>
      </c>
    </row>
    <row r="10" customFormat="false" ht="15" hidden="false" customHeight="false" outlineLevel="0" collapsed="false">
      <c r="A10" s="17" t="s">
        <v>98</v>
      </c>
      <c r="B10" s="17"/>
      <c r="C10" s="17"/>
      <c r="D10" s="17"/>
      <c r="E10" s="17"/>
      <c r="F10" s="17"/>
      <c r="G10" s="17"/>
    </row>
    <row r="11" customFormat="false" ht="30" hidden="false" customHeight="true" outlineLevel="0" collapsed="false">
      <c r="A11" s="11" t="s">
        <v>99</v>
      </c>
      <c r="B11" s="11"/>
      <c r="C11" s="11"/>
      <c r="D11" s="11"/>
      <c r="E11" s="11"/>
      <c r="F11" s="11"/>
      <c r="G11" s="11"/>
    </row>
    <row r="13" customFormat="false" ht="15" hidden="false" customHeight="false" outlineLevel="0" collapsed="false">
      <c r="A13" s="4" t="s">
        <v>94</v>
      </c>
      <c r="B13" s="16" t="s">
        <v>100</v>
      </c>
    </row>
    <row r="14" customFormat="false" ht="15" hidden="false" customHeight="false" outlineLevel="0" collapsed="false">
      <c r="A14" s="4" t="s">
        <v>96</v>
      </c>
      <c r="B14" s="3" t="n">
        <v>11.51</v>
      </c>
    </row>
  </sheetData>
  <mergeCells count="3">
    <mergeCell ref="A1:G1"/>
    <mergeCell ref="A10:G10"/>
    <mergeCell ref="A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7" min="2" style="0" width="14"/>
  </cols>
  <sheetData>
    <row r="1" customFormat="false" ht="25.5" hidden="false" customHeight="true" outlineLevel="0" collapsed="false">
      <c r="A1" s="1" t="s">
        <v>101</v>
      </c>
      <c r="B1" s="1"/>
      <c r="C1" s="1"/>
      <c r="D1" s="1"/>
      <c r="E1" s="1"/>
      <c r="F1" s="1"/>
      <c r="G1" s="1"/>
    </row>
    <row r="3" customFormat="false" ht="15" hidden="false" customHeight="false" outlineLevel="0" collapsed="false">
      <c r="A3" s="12" t="s">
        <v>90</v>
      </c>
    </row>
    <row r="4" customFormat="false" ht="15" hidden="false" customHeight="false" outlineLevel="0" collapsed="false">
      <c r="A4" s="2"/>
      <c r="B4" s="2" t="s">
        <v>44</v>
      </c>
      <c r="C4" s="2" t="s">
        <v>6</v>
      </c>
      <c r="D4" s="2" t="s">
        <v>7</v>
      </c>
      <c r="E4" s="2" t="s">
        <v>45</v>
      </c>
    </row>
    <row r="5" customFormat="false" ht="15" hidden="false" customHeight="false" outlineLevel="0" collapsed="false">
      <c r="A5" s="4" t="s">
        <v>91</v>
      </c>
      <c r="B5" s="3" t="n">
        <v>4</v>
      </c>
      <c r="C5" s="3" t="s">
        <v>33</v>
      </c>
      <c r="D5" s="3" t="s">
        <v>33</v>
      </c>
      <c r="E5" s="3" t="s">
        <v>33</v>
      </c>
    </row>
    <row r="6" customFormat="false" ht="26.85" hidden="false" customHeight="false" outlineLevel="0" collapsed="false">
      <c r="A6" s="4" t="s">
        <v>92</v>
      </c>
      <c r="B6" s="3" t="n">
        <v>4</v>
      </c>
      <c r="C6" s="3" t="s">
        <v>33</v>
      </c>
      <c r="D6" s="3" t="s">
        <v>33</v>
      </c>
      <c r="E6" s="3" t="s">
        <v>33</v>
      </c>
    </row>
    <row r="7" customFormat="false" ht="26.85" hidden="false" customHeight="false" outlineLevel="0" collapsed="false">
      <c r="A7" s="4" t="s">
        <v>93</v>
      </c>
      <c r="B7" s="3" t="n">
        <v>1</v>
      </c>
      <c r="C7" s="3" t="n">
        <v>0</v>
      </c>
      <c r="D7" s="3" t="n">
        <v>1</v>
      </c>
      <c r="E7" s="5" t="n">
        <f aca="false">C7/B7</f>
        <v>0</v>
      </c>
    </row>
    <row r="10" customFormat="false" ht="15" hidden="false" customHeight="false" outlineLevel="0" collapsed="false">
      <c r="A10" s="17" t="s">
        <v>98</v>
      </c>
      <c r="B10" s="17"/>
      <c r="C10" s="17"/>
      <c r="D10" s="17"/>
      <c r="E10" s="17"/>
      <c r="F10" s="17"/>
      <c r="G10" s="17"/>
    </row>
    <row r="11" customFormat="false" ht="30" hidden="false" customHeight="true" outlineLevel="0" collapsed="false">
      <c r="A11" s="11" t="s">
        <v>102</v>
      </c>
      <c r="B11" s="11"/>
      <c r="C11" s="11"/>
      <c r="D11" s="11"/>
      <c r="E11" s="11"/>
      <c r="F11" s="11"/>
      <c r="G11" s="11"/>
    </row>
    <row r="13" customFormat="false" ht="15" hidden="false" customHeight="false" outlineLevel="0" collapsed="false">
      <c r="A13" s="4" t="s">
        <v>94</v>
      </c>
      <c r="B13" s="16" t="s">
        <v>100</v>
      </c>
    </row>
    <row r="14" customFormat="false" ht="15" hidden="false" customHeight="false" outlineLevel="0" collapsed="false">
      <c r="A14" s="4" t="s">
        <v>96</v>
      </c>
      <c r="B14" s="3" t="n">
        <v>8.75</v>
      </c>
    </row>
  </sheetData>
  <mergeCells count="3">
    <mergeCell ref="A1:G1"/>
    <mergeCell ref="A10:G10"/>
    <mergeCell ref="A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7" min="2" style="0" width="14"/>
  </cols>
  <sheetData>
    <row r="1" customFormat="false" ht="25.5" hidden="false" customHeight="true" outlineLevel="0" collapsed="false">
      <c r="A1" s="1" t="s">
        <v>103</v>
      </c>
      <c r="B1" s="1"/>
      <c r="C1" s="1"/>
      <c r="D1" s="1"/>
      <c r="E1" s="1"/>
      <c r="F1" s="1"/>
      <c r="G1" s="1"/>
    </row>
    <row r="3" customFormat="false" ht="15" hidden="false" customHeight="false" outlineLevel="0" collapsed="false">
      <c r="A3" s="12" t="s">
        <v>90</v>
      </c>
    </row>
    <row r="4" customFormat="false" ht="15" hidden="false" customHeight="false" outlineLevel="0" collapsed="false">
      <c r="A4" s="2"/>
      <c r="B4" s="2" t="s">
        <v>44</v>
      </c>
      <c r="C4" s="2" t="s">
        <v>6</v>
      </c>
      <c r="D4" s="2" t="s">
        <v>7</v>
      </c>
      <c r="E4" s="2" t="s">
        <v>45</v>
      </c>
    </row>
    <row r="5" customFormat="false" ht="15" hidden="false" customHeight="false" outlineLevel="0" collapsed="false">
      <c r="A5" s="4" t="s">
        <v>91</v>
      </c>
      <c r="B5" s="3" t="n">
        <v>4</v>
      </c>
      <c r="C5" s="3" t="s">
        <v>33</v>
      </c>
      <c r="D5" s="3" t="s">
        <v>33</v>
      </c>
      <c r="E5" s="3" t="s">
        <v>33</v>
      </c>
    </row>
    <row r="6" customFormat="false" ht="26.85" hidden="false" customHeight="false" outlineLevel="0" collapsed="false">
      <c r="A6" s="4" t="s">
        <v>92</v>
      </c>
      <c r="B6" s="3" t="n">
        <v>4</v>
      </c>
      <c r="C6" s="3" t="s">
        <v>33</v>
      </c>
      <c r="D6" s="3" t="s">
        <v>33</v>
      </c>
      <c r="E6" s="3" t="s">
        <v>33</v>
      </c>
    </row>
    <row r="7" customFormat="false" ht="26.85" hidden="false" customHeight="false" outlineLevel="0" collapsed="false">
      <c r="A7" s="4" t="s">
        <v>93</v>
      </c>
      <c r="B7" s="3" t="n">
        <v>1</v>
      </c>
      <c r="C7" s="3" t="n">
        <v>0</v>
      </c>
      <c r="D7" s="3" t="n">
        <v>1</v>
      </c>
      <c r="E7" s="5" t="n">
        <f aca="false">C7/B7</f>
        <v>0</v>
      </c>
    </row>
    <row r="10" customFormat="false" ht="15" hidden="false" customHeight="false" outlineLevel="0" collapsed="false">
      <c r="A10" s="17" t="s">
        <v>98</v>
      </c>
      <c r="B10" s="17"/>
      <c r="C10" s="17"/>
      <c r="D10" s="17"/>
      <c r="E10" s="17"/>
      <c r="F10" s="17"/>
      <c r="G10" s="17"/>
    </row>
    <row r="11" customFormat="false" ht="30" hidden="false" customHeight="true" outlineLevel="0" collapsed="false">
      <c r="A11" s="11" t="s">
        <v>102</v>
      </c>
      <c r="B11" s="11"/>
      <c r="C11" s="11"/>
      <c r="D11" s="11"/>
      <c r="E11" s="11"/>
      <c r="F11" s="11"/>
      <c r="G11" s="11"/>
    </row>
    <row r="13" customFormat="false" ht="15" hidden="false" customHeight="false" outlineLevel="0" collapsed="false">
      <c r="A13" s="4" t="s">
        <v>94</v>
      </c>
      <c r="B13" s="16" t="s">
        <v>100</v>
      </c>
    </row>
    <row r="14" customFormat="false" ht="15" hidden="false" customHeight="false" outlineLevel="0" collapsed="false">
      <c r="A14" s="4" t="s">
        <v>96</v>
      </c>
      <c r="B14" s="3" t="n">
        <v>8.2</v>
      </c>
    </row>
  </sheetData>
  <mergeCells count="3">
    <mergeCell ref="A1:G1"/>
    <mergeCell ref="A10:G10"/>
    <mergeCell ref="A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7" min="2" style="0" width="14"/>
  </cols>
  <sheetData>
    <row r="1" customFormat="false" ht="25.5" hidden="false" customHeight="true" outlineLevel="0" collapsed="false">
      <c r="A1" s="1" t="s">
        <v>104</v>
      </c>
      <c r="B1" s="1"/>
      <c r="C1" s="1"/>
      <c r="D1" s="1"/>
      <c r="E1" s="1"/>
      <c r="F1" s="1"/>
      <c r="G1" s="1"/>
    </row>
    <row r="3" customFormat="false" ht="15" hidden="false" customHeight="false" outlineLevel="0" collapsed="false">
      <c r="A3" s="12" t="s">
        <v>90</v>
      </c>
    </row>
    <row r="4" customFormat="false" ht="15" hidden="false" customHeight="false" outlineLevel="0" collapsed="false">
      <c r="A4" s="2"/>
      <c r="B4" s="2" t="s">
        <v>44</v>
      </c>
      <c r="C4" s="2" t="s">
        <v>6</v>
      </c>
      <c r="D4" s="2" t="s">
        <v>7</v>
      </c>
      <c r="E4" s="2" t="s">
        <v>45</v>
      </c>
    </row>
    <row r="5" customFormat="false" ht="15" hidden="false" customHeight="false" outlineLevel="0" collapsed="false">
      <c r="A5" s="4" t="s">
        <v>91</v>
      </c>
      <c r="B5" s="3" t="n">
        <v>5</v>
      </c>
      <c r="C5" s="3" t="s">
        <v>33</v>
      </c>
      <c r="D5" s="3" t="s">
        <v>33</v>
      </c>
      <c r="E5" s="3" t="s">
        <v>33</v>
      </c>
    </row>
    <row r="6" customFormat="false" ht="26.85" hidden="false" customHeight="false" outlineLevel="0" collapsed="false">
      <c r="A6" s="4" t="s">
        <v>92</v>
      </c>
      <c r="B6" s="3" t="n">
        <v>5</v>
      </c>
      <c r="C6" s="3" t="s">
        <v>33</v>
      </c>
      <c r="D6" s="3" t="s">
        <v>33</v>
      </c>
      <c r="E6" s="3" t="s">
        <v>33</v>
      </c>
    </row>
    <row r="7" customFormat="false" ht="26.85" hidden="false" customHeight="false" outlineLevel="0" collapsed="false">
      <c r="A7" s="4" t="s">
        <v>93</v>
      </c>
      <c r="B7" s="3" t="n">
        <v>1</v>
      </c>
      <c r="C7" s="3" t="n">
        <v>0</v>
      </c>
      <c r="D7" s="3" t="n">
        <v>1</v>
      </c>
      <c r="E7" s="5" t="n">
        <f aca="false">C7/B7</f>
        <v>0</v>
      </c>
    </row>
    <row r="10" customFormat="false" ht="15" hidden="false" customHeight="false" outlineLevel="0" collapsed="false">
      <c r="A10" s="17" t="s">
        <v>98</v>
      </c>
      <c r="B10" s="17"/>
      <c r="C10" s="17"/>
      <c r="D10" s="17"/>
      <c r="E10" s="17"/>
      <c r="F10" s="17"/>
      <c r="G10" s="17"/>
    </row>
    <row r="11" customFormat="false" ht="30" hidden="false" customHeight="true" outlineLevel="0" collapsed="false">
      <c r="A11" s="11" t="s">
        <v>102</v>
      </c>
      <c r="B11" s="11"/>
      <c r="C11" s="11"/>
      <c r="D11" s="11"/>
      <c r="E11" s="11"/>
      <c r="F11" s="11"/>
      <c r="G11" s="11"/>
    </row>
    <row r="13" customFormat="false" ht="15" hidden="false" customHeight="false" outlineLevel="0" collapsed="false">
      <c r="A13" s="4" t="s">
        <v>94</v>
      </c>
      <c r="B13" s="16" t="s">
        <v>100</v>
      </c>
    </row>
    <row r="14" customFormat="false" ht="15" hidden="false" customHeight="false" outlineLevel="0" collapsed="false">
      <c r="A14" s="4" t="s">
        <v>96</v>
      </c>
      <c r="B14" s="3" t="n">
        <v>9.2</v>
      </c>
    </row>
  </sheetData>
  <mergeCells count="3">
    <mergeCell ref="A1:G1"/>
    <mergeCell ref="A10:G10"/>
    <mergeCell ref="A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5"/>
    <col collapsed="false" customWidth="true" hidden="false" outlineLevel="0" max="6" min="2" style="0" width="14"/>
  </cols>
  <sheetData>
    <row r="1" customFormat="false" ht="17.35" hidden="false" customHeight="false" outlineLevel="0" collapsed="false">
      <c r="A1" s="1" t="s">
        <v>105</v>
      </c>
      <c r="B1" s="1"/>
      <c r="C1" s="1"/>
      <c r="D1" s="1"/>
      <c r="E1" s="1"/>
      <c r="F1" s="1"/>
    </row>
    <row r="3" customFormat="false" ht="39.55" hidden="false" customHeight="false" outlineLevel="0" collapsed="false">
      <c r="A3" s="2" t="s">
        <v>106</v>
      </c>
      <c r="B3" s="2" t="s">
        <v>107</v>
      </c>
      <c r="C3" s="2" t="s">
        <v>108</v>
      </c>
      <c r="D3" s="2" t="s">
        <v>109</v>
      </c>
      <c r="E3" s="2" t="s">
        <v>110</v>
      </c>
    </row>
    <row r="4" customFormat="false" ht="15" hidden="false" customHeight="false" outlineLevel="0" collapsed="false">
      <c r="A4" s="4" t="s">
        <v>111</v>
      </c>
      <c r="B4" s="5" t="n">
        <v>0.18421052631579</v>
      </c>
      <c r="C4" s="5" t="n">
        <v>0.173913043478261</v>
      </c>
      <c r="D4" s="5" t="n">
        <v>0.461538461538462</v>
      </c>
      <c r="E4" s="5" t="n">
        <v>1</v>
      </c>
    </row>
    <row r="5" customFormat="false" ht="15" hidden="false" customHeight="false" outlineLevel="0" collapsed="false">
      <c r="A5" s="4" t="s">
        <v>47</v>
      </c>
      <c r="B5" s="5" t="n">
        <v>0.130434782608696</v>
      </c>
      <c r="C5" s="5" t="n">
        <v>0.173913043478261</v>
      </c>
      <c r="D5" s="5" t="n">
        <v>0.461538461538462</v>
      </c>
      <c r="E5" s="5" t="n">
        <v>1</v>
      </c>
    </row>
    <row r="6" customFormat="false" ht="15" hidden="false" customHeight="false" outlineLevel="0" collapsed="false">
      <c r="A6" s="4" t="s">
        <v>112</v>
      </c>
      <c r="B6" s="5" t="n">
        <v>0.142857142857143</v>
      </c>
      <c r="C6" s="5" t="n">
        <v>0.181818181818182</v>
      </c>
      <c r="D6" s="3" t="s">
        <v>33</v>
      </c>
      <c r="E6" s="5" t="n">
        <v>1</v>
      </c>
    </row>
    <row r="7" customFormat="false" ht="15" hidden="false" customHeight="false" outlineLevel="0" collapsed="false">
      <c r="A7" s="4" t="s">
        <v>113</v>
      </c>
      <c r="B7" s="5" t="n">
        <v>0</v>
      </c>
      <c r="C7" s="5" t="n">
        <v>0.125</v>
      </c>
      <c r="D7" s="5" t="n">
        <v>0.333333333333333</v>
      </c>
      <c r="E7" s="5" t="n">
        <v>1</v>
      </c>
    </row>
    <row r="8" customFormat="false" ht="15" hidden="false" customHeight="false" outlineLevel="0" collapsed="false">
      <c r="A8" s="4" t="s">
        <v>114</v>
      </c>
      <c r="B8" s="5" t="n">
        <v>0</v>
      </c>
      <c r="C8" s="5" t="n">
        <v>0</v>
      </c>
      <c r="D8" s="5" t="n">
        <v>0.3</v>
      </c>
      <c r="E8" s="5" t="n">
        <v>1</v>
      </c>
    </row>
    <row r="9" customFormat="false" ht="15" hidden="false" customHeight="false" outlineLevel="0" collapsed="false">
      <c r="A9" s="4" t="s">
        <v>12</v>
      </c>
      <c r="B9" s="5" t="n">
        <v>0</v>
      </c>
      <c r="C9" s="5" t="n">
        <v>0</v>
      </c>
      <c r="D9" s="5" t="n">
        <v>0.5</v>
      </c>
      <c r="E9" s="5" t="n">
        <v>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5" min="2" style="0" width="18"/>
  </cols>
  <sheetData>
    <row r="1" customFormat="false" ht="17.35" hidden="false" customHeight="false" outlineLevel="0" collapsed="false">
      <c r="A1" s="1" t="s">
        <v>115</v>
      </c>
      <c r="B1" s="1"/>
      <c r="C1" s="1"/>
      <c r="D1" s="1"/>
      <c r="E1" s="1"/>
    </row>
    <row r="3" customFormat="false" ht="26.85" hidden="false" customHeight="false" outlineLevel="0" collapsed="false">
      <c r="A3" s="2" t="s">
        <v>116</v>
      </c>
      <c r="B3" s="2" t="s">
        <v>3</v>
      </c>
      <c r="C3" s="2" t="s">
        <v>13</v>
      </c>
      <c r="D3" s="2" t="s">
        <v>14</v>
      </c>
      <c r="E3" s="2" t="s">
        <v>117</v>
      </c>
    </row>
    <row r="4" customFormat="false" ht="26.85" hidden="false" customHeight="false" outlineLevel="0" collapsed="false">
      <c r="A4" s="4" t="s">
        <v>42</v>
      </c>
      <c r="B4" s="3" t="s">
        <v>18</v>
      </c>
      <c r="C4" s="3" t="n">
        <v>0</v>
      </c>
      <c r="D4" s="3" t="n">
        <v>1</v>
      </c>
      <c r="E4" s="3" t="n">
        <v>1</v>
      </c>
    </row>
    <row r="5" customFormat="false" ht="26.85" hidden="false" customHeight="false" outlineLevel="0" collapsed="false">
      <c r="A5" s="4" t="s">
        <v>77</v>
      </c>
      <c r="B5" s="3" t="s">
        <v>18</v>
      </c>
      <c r="C5" s="3" t="n">
        <v>0</v>
      </c>
      <c r="D5" s="3" t="n">
        <v>2</v>
      </c>
      <c r="E5" s="3" t="n">
        <v>2</v>
      </c>
    </row>
    <row r="6" customFormat="false" ht="15" hidden="false" customHeight="false" outlineLevel="0" collapsed="false">
      <c r="A6" s="4" t="s">
        <v>81</v>
      </c>
      <c r="B6" s="3" t="s">
        <v>18</v>
      </c>
      <c r="C6" s="3" t="n">
        <v>1</v>
      </c>
      <c r="D6" s="3" t="n">
        <v>1</v>
      </c>
      <c r="E6" s="3" t="n">
        <v>2</v>
      </c>
    </row>
    <row r="7" customFormat="false" ht="15" hidden="false" customHeight="false" outlineLevel="0" collapsed="false">
      <c r="A7" s="4" t="s">
        <v>86</v>
      </c>
      <c r="B7" s="3" t="s">
        <v>18</v>
      </c>
      <c r="C7" s="3" t="n">
        <v>1</v>
      </c>
      <c r="D7" s="3" t="n">
        <v>0</v>
      </c>
      <c r="E7" s="3" t="n">
        <v>1</v>
      </c>
    </row>
    <row r="8" customFormat="false" ht="26.85" hidden="false" customHeight="false" outlineLevel="0" collapsed="false">
      <c r="A8" s="4" t="s">
        <v>89</v>
      </c>
      <c r="B8" s="3" t="s">
        <v>27</v>
      </c>
      <c r="C8" s="3" t="n">
        <v>1</v>
      </c>
      <c r="D8" s="3" t="n">
        <v>0</v>
      </c>
      <c r="E8" s="3" t="n">
        <v>1</v>
      </c>
    </row>
    <row r="9" customFormat="false" ht="26.85" hidden="false" customHeight="false" outlineLevel="0" collapsed="false">
      <c r="A9" s="4" t="s">
        <v>97</v>
      </c>
      <c r="B9" s="3" t="s">
        <v>27</v>
      </c>
      <c r="C9" s="3" t="n">
        <v>0</v>
      </c>
      <c r="D9" s="3" t="n">
        <v>1</v>
      </c>
      <c r="E9" s="3" t="n">
        <v>1</v>
      </c>
    </row>
    <row r="10" customFormat="false" ht="26.85" hidden="false" customHeight="false" outlineLevel="0" collapsed="false">
      <c r="A10" s="4" t="s">
        <v>101</v>
      </c>
      <c r="B10" s="3" t="s">
        <v>27</v>
      </c>
      <c r="C10" s="3" t="n">
        <v>0</v>
      </c>
      <c r="D10" s="3" t="n">
        <v>1</v>
      </c>
      <c r="E10" s="3" t="n">
        <v>1</v>
      </c>
    </row>
    <row r="11" customFormat="false" ht="26.85" hidden="false" customHeight="false" outlineLevel="0" collapsed="false">
      <c r="A11" s="4" t="s">
        <v>103</v>
      </c>
      <c r="B11" s="3" t="s">
        <v>27</v>
      </c>
      <c r="C11" s="3" t="n">
        <v>0</v>
      </c>
      <c r="D11" s="3" t="n">
        <v>1</v>
      </c>
      <c r="E11" s="3" t="n">
        <v>1</v>
      </c>
    </row>
    <row r="12" customFormat="false" ht="26.85" hidden="false" customHeight="false" outlineLevel="0" collapsed="false">
      <c r="A12" s="4" t="s">
        <v>104</v>
      </c>
      <c r="B12" s="3" t="s">
        <v>27</v>
      </c>
      <c r="C12" s="3" t="n">
        <v>0</v>
      </c>
      <c r="D12" s="3" t="n">
        <v>1</v>
      </c>
      <c r="E12" s="3" t="n">
        <v>1</v>
      </c>
    </row>
    <row r="13" customFormat="false" ht="15" hidden="false" customHeight="false" outlineLevel="0" collapsed="false">
      <c r="A13" s="6" t="s">
        <v>38</v>
      </c>
      <c r="C13" s="8" t="n">
        <f aca="false">SUM(C4:C12)</f>
        <v>3</v>
      </c>
      <c r="D13" s="8" t="n">
        <f aca="false">SUM(D4:D12)</f>
        <v>8</v>
      </c>
      <c r="E13" s="8" t="n">
        <f aca="false">SUM(E4:E12)</f>
        <v>11</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0"/>
  </cols>
  <sheetData>
    <row r="1" customFormat="false" ht="17.35" hidden="false" customHeight="false" outlineLevel="0" collapsed="false">
      <c r="A1" s="18" t="s">
        <v>118</v>
      </c>
    </row>
    <row r="2" customFormat="false" ht="15" hidden="false" customHeight="false" outlineLevel="0" collapsed="false">
      <c r="A2" s="19"/>
    </row>
    <row r="3" customFormat="false" ht="15" hidden="false" customHeight="false" outlineLevel="0" collapsed="false">
      <c r="A3" s="20" t="s">
        <v>119</v>
      </c>
    </row>
    <row r="4" customFormat="false" ht="46.25" hidden="false" customHeight="false" outlineLevel="0" collapsed="false">
      <c r="A4" s="19" t="s">
        <v>120</v>
      </c>
    </row>
    <row r="5" customFormat="false" ht="15" hidden="false" customHeight="false" outlineLevel="0" collapsed="false">
      <c r="A5" s="19"/>
    </row>
    <row r="6" customFormat="false" ht="15" hidden="false" customHeight="false" outlineLevel="0" collapsed="false">
      <c r="A6" s="20" t="s">
        <v>121</v>
      </c>
    </row>
    <row r="7" customFormat="false" ht="23.85" hidden="false" customHeight="false" outlineLevel="0" collapsed="false">
      <c r="A7" s="19" t="s">
        <v>122</v>
      </c>
    </row>
    <row r="8" customFormat="false" ht="15" hidden="false" customHeight="false" outlineLevel="0" collapsed="false">
      <c r="A8" s="19"/>
    </row>
    <row r="9" customFormat="false" ht="15" hidden="false" customHeight="false" outlineLevel="0" collapsed="false">
      <c r="A9" s="20" t="s">
        <v>123</v>
      </c>
    </row>
    <row r="10" customFormat="false" ht="30" hidden="false" customHeight="true" outlineLevel="0" collapsed="false">
      <c r="A10" s="19" t="s">
        <v>124</v>
      </c>
    </row>
    <row r="11" customFormat="false" ht="30" hidden="false" customHeight="true" outlineLevel="0" collapsed="false">
      <c r="A11" s="19" t="s">
        <v>125</v>
      </c>
    </row>
    <row r="12" customFormat="false" ht="30" hidden="false" customHeight="true" outlineLevel="0" collapsed="false">
      <c r="A12" s="19" t="s">
        <v>126</v>
      </c>
    </row>
    <row r="13" customFormat="false" ht="30" hidden="false" customHeight="true" outlineLevel="0" collapsed="false">
      <c r="A13" s="19" t="s">
        <v>127</v>
      </c>
    </row>
    <row r="14" customFormat="false" ht="15" hidden="false" customHeight="false" outlineLevel="0" collapsed="false">
      <c r="A14" s="19"/>
    </row>
    <row r="15" customFormat="false" ht="15" hidden="false" customHeight="false" outlineLevel="0" collapsed="false">
      <c r="A15" s="20" t="s">
        <v>128</v>
      </c>
    </row>
    <row r="16" customFormat="false" ht="30" hidden="false" customHeight="true" outlineLevel="0" collapsed="false">
      <c r="A16" s="19" t="s">
        <v>129</v>
      </c>
    </row>
    <row r="17" customFormat="false" ht="30" hidden="false" customHeight="true" outlineLevel="0" collapsed="false">
      <c r="A17" s="19" t="s">
        <v>130</v>
      </c>
    </row>
    <row r="18" customFormat="false" ht="30" hidden="false" customHeight="true" outlineLevel="0" collapsed="false">
      <c r="A18" s="19"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2026-05-05T11:52:18Z</dcterms:created>
  <dc:creator>openpyxl</dc:creator>
  <dc:description/>
  <dc:language>en-US</dc:language>
  <cp:lastModifiedBy/>
  <dcterms:modified xsi:type="dcterms:W3CDTF">2026-05-05T11:52:29Z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