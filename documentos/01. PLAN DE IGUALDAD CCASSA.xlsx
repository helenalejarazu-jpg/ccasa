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edkuorumsl-my.sharepoint.com/personal/helena_lejarazu_redkuorum_eus/Documents/Documentos/1. KUORUM/125. Asistencia Tecnica CCASA 2026/"/>
    </mc:Choice>
  </mc:AlternateContent>
  <xr:revisionPtr revIDLastSave="10" documentId="13_ncr:1_{D8EF8733-9B8D-4E02-96C1-A3BA30688A32}" xr6:coauthVersionLast="47" xr6:coauthVersionMax="47" xr10:uidLastSave="{71DAA572-1EBF-4B59-B19C-DCD94353128F}"/>
  <bookViews>
    <workbookView minimized="1" xWindow="3540" yWindow="3540" windowWidth="11198" windowHeight="4988" activeTab="7" xr2:uid="{52721939-071A-4AB2-B493-DD1F1113A557}"/>
  </bookViews>
  <sheets>
    <sheet name="BBDD" sheetId="4" r:id="rId1"/>
    <sheet name="Hoja1" sheetId="14" r:id="rId2"/>
    <sheet name="PLAN " sheetId="5" r:id="rId3"/>
    <sheet name="CARACTERISTICAS" sheetId="9" r:id="rId4"/>
    <sheet name="Hoja2" sheetId="13" r:id="rId5"/>
    <sheet name="TD" sheetId="7" r:id="rId6"/>
    <sheet name="HORAS" sheetId="10" r:id="rId7"/>
    <sheet name="POA26" sheetId="11" r:id="rId8"/>
    <sheet name="METAS" sheetId="12" r:id="rId9"/>
  </sheets>
  <definedNames>
    <definedName name="_xlnm._FilterDatabase" localSheetId="7" hidden="1">'POA26'!$A$1:$H$52</definedName>
    <definedName name="_xlchart.v2.0" hidden="1">TD!$A$58:$A$66</definedName>
    <definedName name="_xlchart.v2.1" hidden="1">TD!$B$58:$B$66</definedName>
  </definedNames>
  <calcPr calcId="191029"/>
  <pivotCaches>
    <pivotCache cacheId="2" r:id="rId10"/>
    <pivotCache cacheId="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3" l="1"/>
  <c r="B67" i="7"/>
  <c r="G51" i="4"/>
</calcChain>
</file>

<file path=xl/sharedStrings.xml><?xml version="1.0" encoding="utf-8"?>
<sst xmlns="http://schemas.openxmlformats.org/spreadsheetml/2006/main" count="1404" uniqueCount="352">
  <si>
    <t>MEDIDA / ACCIÓN</t>
  </si>
  <si>
    <t>INDICADOR DE SEGUIMIENTO</t>
  </si>
  <si>
    <t>RESPONSABLE</t>
  </si>
  <si>
    <t>PERIODICIDAD</t>
  </si>
  <si>
    <t>1. GESTIÓN Y COMUNICACIÓN DEL PLAN DE IGUALDAD</t>
  </si>
  <si>
    <t>Nº de reuniones celebradas / Actas elaboradas / Participación registrada.</t>
  </si>
  <si>
    <t>RR. HH. / Asistencia Técnica de Igualdad</t>
  </si>
  <si>
    <t>Anual</t>
  </si>
  <si>
    <t>Nº de reuniones celebradas / Actas aprobadas / Grado de cumplimiento del calendario.</t>
  </si>
  <si>
    <t>RR. HH. / Comisión de Seguimiento</t>
  </si>
  <si>
    <t>Programa operativo aprobado / Inclusión de indicadores y presupuesto / Acta de aprobación.</t>
  </si>
  <si>
    <t>RR. HH. / Asistencia Técnica de Igualdad / Dirección</t>
  </si>
  <si>
    <t>Informe anual elaborado y presentado a la Comisión de Seguimiento / Incorporación de resultados cuantitativos y cualitativos.</t>
  </si>
  <si>
    <t>Memoria final aprobada / Presentación pública interna realizada.</t>
  </si>
  <si>
    <t>RR. HH. / Asistencia Técnica de Igualdad / Comisión de Seguimiento</t>
  </si>
  <si>
    <t>Puntual</t>
  </si>
  <si>
    <t>Comunicación enviada / Porcentaje de personal receptor / Encuesta de conocimiento.</t>
  </si>
  <si>
    <t>Espacio creado y actualizado / Nº de visitas o descargas.</t>
  </si>
  <si>
    <t>2. ACCESO Y PROMOCIÓN EN EL EMPLEO PÚBLICO</t>
  </si>
  <si>
    <t>% de procesos con cláusulas de igualdad / Tipología de cláusulas aplicadas.</t>
  </si>
  <si>
    <t>Nº de procesos con criterios específicos en igualdad / Revisión anual de convocatorias.</t>
  </si>
  <si>
    <t>RR. HH. / Empresa seleccionadora / Asistencia Técnica de Igualdad</t>
  </si>
  <si>
    <t>Nº de EIG realizadas / Incorporación de ajustes derivados de la EIG.</t>
  </si>
  <si>
    <t>Grupo creado / Nº de reuniones realizadas / Recomendaciones aplicadas.</t>
  </si>
  <si>
    <t>Informe anual elaborado / Incorporación de propuestas en convocatorias siguientes.</t>
  </si>
  <si>
    <t>Nº de procesos con acción positiva aplicada / % de mujeres en puestos de responsabilidad.</t>
  </si>
  <si>
    <t>RR. HH. / Dirección / Asistencia Técnica de Igualdad</t>
  </si>
  <si>
    <t>3. FORMACIÓN Y CAPACITACIÓN CON PERSPECTIVA DE GÉNERO</t>
  </si>
  <si>
    <t>Nº de formaciones realizadas / Nº y perfil de participantes / Valoración media / Grado de aplicación práctica.</t>
  </si>
  <si>
    <t>Nº de mujeres participantes / Valoración de la formación / Cambios percibidos en liderazgo y autoconfianza.</t>
  </si>
  <si>
    <t>Nº de hombres participantes / Valoración de la formación / Nivel de sensibilización alcanzado.</t>
  </si>
  <si>
    <t>Nº de contratos o convenios con cláusulas / Evaluación de cumplimiento.</t>
  </si>
  <si>
    <t>Nº de informes previos recibidos / Grado de adecuación a las cláusulas.</t>
  </si>
  <si>
    <t>Informe anual elaborado y presentado / Incorporación de mejoras en convocatorias posteriores.</t>
  </si>
  <si>
    <t>Inclusión de cláusulas en el contrato / Disponibilidad de personal especializado / Plan de Prevención elaborado y revisado.</t>
  </si>
  <si>
    <t>RR. HH. / Servicio de Prevención / Asistencia Técnica de Igualdad</t>
  </si>
  <si>
    <t>Plan de Prevención elaborado y aprobado / Incorporación de criterios de género en las evaluaciones de riesgo.</t>
  </si>
  <si>
    <t>Servicio de Prevención / RR. HH. / Asistencia Técnica de Igualdad</t>
  </si>
  <si>
    <t>Nº de reuniones realizadas / Actas elaboradas / Grado de cumplimiento de la planificación.</t>
  </si>
  <si>
    <t>Inclusión del punto en el orden del día / Nº de medidas propuestas o implementadas.</t>
  </si>
  <si>
    <t>Informe elaborado / Observaciones incorporadas / Medidas de mejora adoptadas.</t>
  </si>
  <si>
    <t>4. SEGURIDAD Y SALUD LABORAL</t>
  </si>
  <si>
    <t>5. VALORACIÓN DE PUESTOS DE TRABAJO Y AUDITORÍA RETRIBUTIVA</t>
  </si>
  <si>
    <t>Auditoría retributiva elaborada / Brecha salarial total / Cumplimiento de plazos legales.</t>
  </si>
  <si>
    <t>RR. HH. / Comisión de Igualdad / Asistencia Técnica de Igualdad</t>
  </si>
  <si>
    <t>Sesión informativa realizada / Informe difundido / Porcentaje de plantilla asistente o receptora / Nivel de comprensión y satisfacción.</t>
  </si>
  <si>
    <t>7. CULTURA ORGANIZACIONAL</t>
  </si>
  <si>
    <t>Nº de actualizaciones y publicaciones / Alcance y visualización en los canales / Percepción de la plantilla.</t>
  </si>
  <si>
    <t>Nº de comunicaciones o actos con mensajes de igualdad / Visibilidad de la igualdad en materiales institucionales.</t>
  </si>
  <si>
    <t>Dirección / RR. HH.</t>
  </si>
  <si>
    <t>Manual difundido / Nº de descargas o accesos / Nivel de conocimiento del personal.</t>
  </si>
  <si>
    <t>Nº de sesiones formativas / Nº de participantes / Valoración media de la formación.</t>
  </si>
  <si>
    <t>Contratación realizada / Plan de trabajo definido / Medidas implementadas.</t>
  </si>
  <si>
    <t>Nº de formaciones realizadas / Nº de participantes / Cambios en prácticas de liderazgo.</t>
  </si>
  <si>
    <t>Programa o formación implementada / Nº de mujeres participantes / Valoración de impacto.</t>
  </si>
  <si>
    <t>Nº de formaciones realizadas / Valoración media / Aplicación práctica observada.</t>
  </si>
  <si>
    <t>6. CONCILIACIÓN CORRESPONSABLE</t>
  </si>
  <si>
    <t>Evaluación anual realizada / Informe de revisión elaborado / Actualización de medidas aprobada.</t>
  </si>
  <si>
    <t>Cuestionario realizado / Tasa de respuesta / Informe de resultados y propuestas aprobado.</t>
  </si>
  <si>
    <t>Folleto o comunicación elaborada / Porcentaje de plantilla receptora / Nivel de conocimiento detectado.</t>
  </si>
  <si>
    <t>8. VIOLENCIA MACHISTA, ACOSO SEXUAL Y ACOSO POR RAZÓN DE SEXO</t>
  </si>
  <si>
    <t>Contenidos diseñados e integrados / Manual actualizado / Porcentaje de nuevas incorporaciones que lo reciben.</t>
  </si>
  <si>
    <t>Etiquetas de fila</t>
  </si>
  <si>
    <t>Total general</t>
  </si>
  <si>
    <t>Inclusión de la revisión en la negociación colectiva / Artículo 27 modificado / Incorporación del nuevo enfoque legal.</t>
  </si>
  <si>
    <t>Dirección / RR. HH. / Comité de Empresa / Asistencia Técnica de Igualdad</t>
  </si>
  <si>
    <t>Nº de contratos con cláusulas / Nº de verificaciones realizadas / Cumplimiento de la exigencia.</t>
  </si>
  <si>
    <t>RR. HH. / Asistencia Técnica de Igualdad / Servicio Jurídico</t>
  </si>
  <si>
    <t>Comunicación institucional difundida / Porcentaje de plantilla receptora / Nivel de conocimiento detectado.</t>
  </si>
  <si>
    <t>Nº de formaciones realizadas / Nº de participantes / Valoración media.</t>
  </si>
  <si>
    <t>Nº de mensajes o campañas difundidas / Alcance estimado / Valoración de impacto.</t>
  </si>
  <si>
    <t>9. PRODUCTOS Y SERVICIOS CON PERSPECTIVA DE GÉNERO</t>
  </si>
  <si>
    <t>Diagnóstico realizado / Aplicaciones inventariadas / Cronograma aprobado.</t>
  </si>
  <si>
    <t>Dirección / Unidad de Estrategia de Datos / Asistencia Técnica de Igualdad</t>
  </si>
  <si>
    <t>Variable sexo incorporada en el modelo de datos / Proyectos piloto asesorados / Requisitos de igualdad integrados.</t>
  </si>
  <si>
    <t>Nº de áreas coordinadas / Nº de adaptaciones realizadas / Cumplimiento de cronograma.</t>
  </si>
  <si>
    <t>Nº de proyectos revisados / Cumplimiento de criterios de género en interfaces.</t>
  </si>
  <si>
    <t>Dirección de Proyectos / Asistencia Técnica de Igualdad</t>
  </si>
  <si>
    <t>Cuenta de EJE / ÁREA</t>
  </si>
  <si>
    <t>HORAS DE DEDICACIÓN</t>
  </si>
  <si>
    <t>NUMERO TOTAL DE ACCIONES</t>
  </si>
  <si>
    <t xml:space="preserve">ÁREAS </t>
  </si>
  <si>
    <t>OBJETIVOS</t>
  </si>
  <si>
    <t>ACCIONES</t>
  </si>
  <si>
    <t>RR. HH. / Unidad web / Asistencia Técnica de Igualdad</t>
  </si>
  <si>
    <t>Suma de HORAS DE DEDICACIÓN</t>
  </si>
  <si>
    <t>HORAS RESPONSABLES</t>
  </si>
  <si>
    <t>Suma de HORAS RESPONSABLES</t>
  </si>
  <si>
    <t xml:space="preserve"> Aplicar a partir de marzo </t>
  </si>
  <si>
    <t xml:space="preserve"> </t>
  </si>
  <si>
    <t>1.1. Institucionalizar estructuras de gobernanza feminista que sostengan el impulso, seguimiento y rendición de cuentas del Plan de Igualdad.</t>
  </si>
  <si>
    <t>1.2. Garantizar una gestión estratégica, operativa y evaluable del Plan de Igualdad como herramienta viva de transformación organizacional.</t>
  </si>
  <si>
    <t>1.3. Consolidar una comunicación interna activa, accesible y pedagógica que democratice el conocimiento sobre el Plan y sus avances.</t>
  </si>
  <si>
    <t>3.1. Dotar al personal de CCASA de los conocimientos necesarios para introducir la perspectiva de género en su actividad.</t>
  </si>
  <si>
    <t>3.3. Introducir la perspectiva de género en toda la formación externa contratada o financiada por CCASA.</t>
  </si>
  <si>
    <t>7.1. Mantener y fortalecer la visibilidad institucional del compromiso de CCASA con la igualdad de mujeres y hombres.</t>
  </si>
  <si>
    <t>7.2. Consolidar el uso sistemático del lenguaje inclusivo y no sexista en toda la documentación corporativa.</t>
  </si>
  <si>
    <t>8.1. Garantizar la adecuación del marco normativo y convencional de CCASA al Decreto Legislativo 1/2023 y al enfoque feminista de prevención de las violencias.</t>
  </si>
  <si>
    <t>8.2. Consolidar el compromiso interno de CCASA frente a la violencia machista y su expresión pública.</t>
  </si>
  <si>
    <t>9.1. Incorporar la perspectiva de género en los sistemas de información y servicios digitales de CCASA.</t>
  </si>
  <si>
    <t>METAS</t>
  </si>
  <si>
    <r>
      <t>1.1.1.</t>
    </r>
    <r>
      <rPr>
        <sz val="11"/>
        <color theme="1"/>
        <rFont val="Tw Cen MT"/>
        <family val="2"/>
        <scheme val="minor"/>
      </rPr>
      <t xml:space="preserve"> Reunir al Grupo Motor del Plan (Asistencia Técnica de Igualdad y responsable de RR. HH.) una vez al mes, garantizando la coordinación técnica y la integración de la perspectiva de género en la gestión ordinaria.</t>
    </r>
  </si>
  <si>
    <r>
      <t>1.1.2.</t>
    </r>
    <r>
      <rPr>
        <sz val="11"/>
        <color theme="1"/>
        <rFont val="Tw Cen MT"/>
        <family val="2"/>
        <scheme val="minor"/>
      </rPr>
      <t xml:space="preserve"> Convocar la Comisión de Seguimiento del Plan de Igualdad dos veces al año, para analizar avances y retos y aprobar los informes de planificación y seguimiento.</t>
    </r>
  </si>
  <si>
    <r>
      <t>1.2.1.</t>
    </r>
    <r>
      <rPr>
        <sz val="11"/>
        <color theme="1"/>
        <rFont val="Tw Cen MT"/>
        <family val="2"/>
        <scheme val="minor"/>
      </rPr>
      <t xml:space="preserve"> Diseñar, elaborar y aprobar el Programa Operativo Anual de Igualdad con objetivos, medidas, acciones, responsables, indicadores y presupuesto.</t>
    </r>
  </si>
  <si>
    <r>
      <t>1.2.2.</t>
    </r>
    <r>
      <rPr>
        <sz val="11"/>
        <color theme="1"/>
        <rFont val="Tw Cen MT"/>
        <family val="2"/>
        <scheme val="minor"/>
      </rPr>
      <t xml:space="preserve"> Elaborar el informe anual de seguimiento y evaluación del Plan.</t>
    </r>
  </si>
  <si>
    <r>
      <t>1.2.3.</t>
    </r>
    <r>
      <rPr>
        <sz val="11"/>
        <color theme="1"/>
        <rFont val="Tw Cen MT"/>
        <family val="2"/>
        <scheme val="minor"/>
      </rPr>
      <t xml:space="preserve"> Elaborar la memoria de evaluación final del III Plan para la Igualdad.</t>
    </r>
  </si>
  <si>
    <r>
      <t>1.3.1.</t>
    </r>
    <r>
      <rPr>
        <sz val="11"/>
        <color theme="1"/>
        <rFont val="Tw Cen MT"/>
        <family val="2"/>
        <scheme val="minor"/>
      </rPr>
      <t xml:space="preserve"> Enviar una comunicación institucional anual a toda la plantilla con un resumen de la planificación operativa y de los resultados del seguimiento y evaluación.</t>
    </r>
  </si>
  <si>
    <r>
      <t>1.3.2.</t>
    </r>
    <r>
      <rPr>
        <sz val="11"/>
        <color theme="1"/>
        <rFont val="Tw Cen MT"/>
        <family val="2"/>
        <scheme val="minor"/>
      </rPr>
      <t xml:space="preserve"> Mantener el espacio en la intranet corporativa sobre igualdad que recoja el Plan vigente, los informes anuales, materiales formativos y noticias relevantes.</t>
    </r>
  </si>
  <si>
    <t>RR. HH. / Asistencia Técnica de Igualdad / Unidad web</t>
  </si>
  <si>
    <t>2.1. Asegurar el cumplimiento de la legislación vigente en materia de igualdad en la contratación de CCASA.</t>
  </si>
  <si>
    <r>
      <t>2.1.1.</t>
    </r>
    <r>
      <rPr>
        <sz val="11"/>
        <color theme="1"/>
        <rFont val="Tw Cen MT"/>
        <family val="2"/>
        <scheme val="minor"/>
      </rPr>
      <t xml:space="preserve"> Incluir cláusulas de igualdad en las bases de todos los procesos (lenguaje no sexista, composición equilibrada, cláusula de desempate, valoración del tiempo de corresponsabilidad, protección de la maternidad, valoración de formación en igualdad).</t>
    </r>
  </si>
  <si>
    <r>
      <t>2.1.2.</t>
    </r>
    <r>
      <rPr>
        <sz val="11"/>
        <color theme="1"/>
        <rFont val="Tw Cen MT"/>
        <family val="2"/>
        <scheme val="minor"/>
      </rPr>
      <t xml:space="preserve"> Incorporar criterios de valoración específicos en igualdad, incluyendo conocimientos acreditados en igualdad y perspectiva de género en el ámbito tecnológico.</t>
    </r>
  </si>
  <si>
    <r>
      <t>2.1.3.</t>
    </r>
    <r>
      <rPr>
        <sz val="11"/>
        <color theme="1"/>
        <rFont val="Tw Cen MT"/>
        <family val="2"/>
        <scheme val="minor"/>
      </rPr>
      <t xml:space="preserve"> Aplicar la Evaluación de Impacto de Género (EIG) en los procesos de selección y promoción para adaptar los criterios de valoración a las desigualdades detectadas.</t>
    </r>
  </si>
  <si>
    <t>2.2. Reducir la segregación vertical y horizontal, asegurando la presencia equilibrada de mujeres en todos los puestos y en todas las áreas.</t>
  </si>
  <si>
    <r>
      <t>2.2.1.</t>
    </r>
    <r>
      <rPr>
        <sz val="11"/>
        <color theme="1"/>
        <rFont val="Tw Cen MT"/>
        <family val="2"/>
        <scheme val="minor"/>
      </rPr>
      <t xml:space="preserve"> Aplicar acciones positivas en nuevas vacantes de puestos de responsabilidad, seleccionando al sexo menos representado hasta alcanzar un 40% de presencia en todos los niveles de responsabilidad de CCASA.</t>
    </r>
  </si>
  <si>
    <r>
      <t>2.2.2.</t>
    </r>
    <r>
      <rPr>
        <sz val="11"/>
        <color theme="1"/>
        <rFont val="Tw Cen MT"/>
        <family val="2"/>
        <scheme val="minor"/>
      </rPr>
      <t xml:space="preserve"> Reducir la segregación horizontal, aplicando acciones positivas en nuevas vacantes que consistan en seleccionar al sexo menos representado hasta alcanzar un 40% de presencia en todas las áreas de CCASA.</t>
    </r>
  </si>
  <si>
    <t>Nº de nuevas vacantes identificadas.</t>
  </si>
  <si>
    <t>2.3. Evaluar sistemáticamente la calidad de los procesos y proponer mejoras para avanzar en la igualdad real.</t>
  </si>
  <si>
    <r>
      <t>2.3.1.</t>
    </r>
    <r>
      <rPr>
        <sz val="11"/>
        <color theme="1"/>
        <rFont val="Tw Cen MT"/>
        <family val="2"/>
        <scheme val="minor"/>
      </rPr>
      <t xml:space="preserve"> Crear un grupo de trabajo permanente entre la empresa seleccionadora, RR. HH. y la Asistencia Técnica de Igualdad para revisar las bases y la fase de valoración de méritos, detectar sesgos y proponer mejoras. El grupo de trabajo estará integrado por la dirección de CCASA, representación sindical, de recursos humanos e igualdad.</t>
    </r>
  </si>
  <si>
    <r>
      <t>2.3.2.</t>
    </r>
    <r>
      <rPr>
        <sz val="11"/>
        <color theme="1"/>
        <rFont val="Tw Cen MT"/>
        <family val="2"/>
        <scheme val="minor"/>
      </rPr>
      <t xml:space="preserve"> Elaborar un informe anual de seguimiento y evaluación de los procesos de acceso y promoción con datos desagregados por sexo, tipo de proceso y resultados.</t>
    </r>
  </si>
  <si>
    <r>
      <t>3.1.1.</t>
    </r>
    <r>
      <rPr>
        <sz val="11"/>
        <color theme="1"/>
        <rFont val="Tw Cen MT"/>
        <family val="2"/>
        <scheme val="minor"/>
      </rPr>
      <t xml:space="preserve"> Desarrollar una formación mixta anual dirigida a toda la plantilla con los siguientes módulos: 1) Legislación vigente en materia de igualdad. 2) Igualdad en la tecnología y entornos digitales. 3) Incorporación de la perspectiva de género en la gestión y en los proyectos tecnológicos. 4) Elaboración de Evaluaciones de Impacto de Género (EIG). Temas complementarios: comunicación inclusiva, prevención de la violencia digital, liderazgo igualitario.</t>
    </r>
  </si>
  <si>
    <t>3.2. Proporcionar a CCASA espacios formativos que transformen las relaciones de género mediante el empoderamiento de las mujeres y la revisión crítica de las masculinidades.</t>
  </si>
  <si>
    <r>
      <t>3.2.1.</t>
    </r>
    <r>
      <rPr>
        <sz val="11"/>
        <color theme="1"/>
        <rFont val="Tw Cen MT"/>
        <family val="2"/>
        <scheme val="minor"/>
      </rPr>
      <t xml:space="preserve"> Ofrecer una formación anual dirigida a mujeres centrada en el empoderamiento profesional, el liderazgo y la gestión de la autoridad en entornos masculinizados.</t>
    </r>
  </si>
  <si>
    <r>
      <t>3.2.2.</t>
    </r>
    <r>
      <rPr>
        <sz val="11"/>
        <color theme="1"/>
        <rFont val="Tw Cen MT"/>
        <family val="2"/>
        <scheme val="minor"/>
      </rPr>
      <t xml:space="preserve"> Realizar una formación anual dirigida a hombres sobre nuevas masculinidades, corresponsabilidad, prevención de la violencia machista y transformación de las dinámicas masculinizadas en los equipos.</t>
    </r>
  </si>
  <si>
    <r>
      <t>3.3.2.</t>
    </r>
    <r>
      <rPr>
        <sz val="11"/>
        <color theme="1"/>
        <rFont val="Tw Cen MT"/>
        <family val="2"/>
        <scheme val="minor"/>
      </rPr>
      <t xml:space="preserve"> Solicitar a las entidades proveedoras un informe previo sobre los contenidos de la formación, indicando cómo se integra la perspectiva de género.</t>
    </r>
  </si>
  <si>
    <r>
      <t>3.3.3.</t>
    </r>
    <r>
      <rPr>
        <sz val="11"/>
        <color theme="1"/>
        <rFont val="Tw Cen MT"/>
        <family val="2"/>
        <scheme val="minor"/>
      </rPr>
      <t xml:space="preserve"> Elaborar un informe anual sobre las formaciones externas realizadas, detallando contenidos, personas asistentes (desagregadas por sexo) y valoración del cumplimiento de las cláusulas de igualdad.</t>
    </r>
  </si>
  <si>
    <t>4.1. Dotar a CCASA de una infraestructura de riesgos laborales que incorpore la perspectiva de género, asegurando que el personal que gestiona el servicio tiene formación en igualdad y que se aplican las herramientas de trabajo en materia de riesgos laborales.</t>
  </si>
  <si>
    <r>
      <t>4.1.1.</t>
    </r>
    <r>
      <rPr>
        <sz val="11"/>
        <color theme="1"/>
        <rFont val="Tw Cen MT"/>
        <family val="2"/>
        <scheme val="minor"/>
      </rPr>
      <t xml:space="preserve"> Incorporar en la nueva contratación del servicio de prevención cláusulas que aseguren la disponibilidad de personal técnico con formación acreditada en igualdad y PRL con perspectiva de género, e incluyan la obligación de elaborar un nuevo Plan de Prevención con perspectiva de género. La Asistencia Técnica en Igualdad revisará los documentos elaborados y propondrá mejoras o ajustes.</t>
    </r>
  </si>
  <si>
    <r>
      <t>4.1.2.</t>
    </r>
    <r>
      <rPr>
        <sz val="11"/>
        <color theme="1"/>
        <rFont val="Tw Cen MT"/>
        <family val="2"/>
        <scheme val="minor"/>
      </rPr>
      <t xml:space="preserve"> Elaborar, en el marco del nuevo contrato de prevención, un Plan de Prevención con perspectiva de género, conforme al Decreto Legislativo 1/2023 y a las herramientas de Osalan.</t>
    </r>
  </si>
  <si>
    <t>4.2. Planificar y evaluar anualmente la integración de la perspectiva de género en el Servicio de Prevención.</t>
  </si>
  <si>
    <r>
      <t>4.2.1.</t>
    </r>
    <r>
      <rPr>
        <sz val="11"/>
        <color theme="1"/>
        <rFont val="Tw Cen MT"/>
        <family val="2"/>
        <scheme val="minor"/>
      </rPr>
      <t xml:space="preserve"> Establecer una planificación anual de trabajo conjunta entre RR. HH., la Asistencia Técnica de Igualdad y el Servicio de Prevención, con al menos dos reuniones anuales (una de planificación y otra de seguimiento).</t>
    </r>
  </si>
  <si>
    <r>
      <t>4.2.2.</t>
    </r>
    <r>
      <rPr>
        <sz val="11"/>
        <color theme="1"/>
        <rFont val="Tw Cen MT"/>
        <family val="2"/>
        <scheme val="minor"/>
      </rPr>
      <t xml:space="preserve"> Incluir en las reuniones anuales de coordinación un apartado fijo sobre riesgos emergentes —teletrabajo, burnout, síndrome del impostor, violencia digital y discriminación algorítmica—, analizando su evolución y posibles medidas preventivas.</t>
    </r>
  </si>
  <si>
    <r>
      <t>4.2.3.</t>
    </r>
    <r>
      <rPr>
        <sz val="11"/>
        <color theme="1"/>
        <rFont val="Tw Cen MT"/>
        <family val="2"/>
        <scheme val="minor"/>
      </rPr>
      <t xml:space="preserve"> Elaborar un informe anual sobre seguridad y salud laboral con perspectiva de género, realizado por el Servicio de Prevención y revisado por la Asistencia Técnica de Igualdad.</t>
    </r>
  </si>
  <si>
    <t>5.1. Evaluar y difundir anualmente las brechas salariales, garantizando la igualdad retributiva y la transparencia salarial conforme al marco legal vigente.</t>
  </si>
  <si>
    <r>
      <t>5.1.1.</t>
    </r>
    <r>
      <rPr>
        <sz val="11"/>
        <color theme="1"/>
        <rFont val="Tw Cen MT"/>
        <family val="2"/>
        <scheme val="minor"/>
      </rPr>
      <t xml:space="preserve"> Realizar anualmente la auditoría retributiva conforme al Real Decreto 902/2020 y a la herramienta oficial del Ministerio, incluyendo el análisis de brechas salariales, diferencias justificadas y no justificadas, y causas identificadas.</t>
    </r>
  </si>
  <si>
    <r>
      <t>5.1.2.</t>
    </r>
    <r>
      <rPr>
        <sz val="11"/>
        <color theme="1"/>
        <rFont val="Tw Cen MT"/>
        <family val="2"/>
        <scheme val="minor"/>
      </rPr>
      <t xml:space="preserve"> Presentar los resultados de la auditoría retributiva a la plantilla mediante sesión informativa y/o difusión en la intranet, garantizando la transparencia y la comprensión del sistema retributivo.</t>
    </r>
  </si>
  <si>
    <t>RR. HH. / Dirección / Comisión de Igualdad / Asistencia Técnica de Igualdad</t>
  </si>
  <si>
    <t>6.1. Garantizar medidas de conciliación eficaces, evaluables, transparentes y adaptadas a las necesidades reales de la plantilla.</t>
  </si>
  <si>
    <r>
      <t>6.1.1.</t>
    </r>
    <r>
      <rPr>
        <sz val="11"/>
        <color theme="1"/>
        <rFont val="Tw Cen MT"/>
        <family val="2"/>
        <scheme val="minor"/>
      </rPr>
      <t xml:space="preserve"> Revisar y evaluar anualmente las medidas de conciliación y flexibilidad horaria, adaptándolas a las necesidades reales de la plantilla y a los cambios normativos y organizativos.</t>
    </r>
  </si>
  <si>
    <t>RR. HH. / Asistencia Técnica de Igualdad / Comisión de Igualdad</t>
  </si>
  <si>
    <r>
      <t>6.1.3.</t>
    </r>
    <r>
      <rPr>
        <sz val="11"/>
        <color theme="1"/>
        <rFont val="Tw Cen MT"/>
        <family val="2"/>
        <scheme val="minor"/>
      </rPr>
      <t xml:space="preserve"> Difundir a toda la plantilla las medidas de conciliación disponibles y los resultados de la evaluación y del cuestionario, mediante folleto o comunicación institucional.</t>
    </r>
  </si>
  <si>
    <r>
      <t>7.1.1.</t>
    </r>
    <r>
      <rPr>
        <sz val="11"/>
        <color theme="1"/>
        <rFont val="Tw Cen MT"/>
        <family val="2"/>
        <scheme val="minor"/>
      </rPr>
      <t xml:space="preserve"> Mantener la presencia del Plan de Igualdad en los canales internos y externos de comunicación corporativa (intranet, web, presentaciones institucionales, eventos, memorias), garantizando la actualización anual de sus contenidos y resultados.</t>
    </r>
  </si>
  <si>
    <r>
      <t>7.1.2.</t>
    </r>
    <r>
      <rPr>
        <sz val="11"/>
        <color theme="1"/>
        <rFont val="Tw Cen MT"/>
        <family val="2"/>
        <scheme val="minor"/>
      </rPr>
      <t xml:space="preserve"> Incorporar mensajes institucionales sobre igualdad y diversidad en las comunicaciones públicas, ponencias técnicas y materiales corporativos.</t>
    </r>
  </si>
  <si>
    <r>
      <t>7.2.1.</t>
    </r>
    <r>
      <rPr>
        <sz val="11"/>
        <color theme="1"/>
        <rFont val="Tw Cen MT"/>
        <family val="2"/>
        <scheme val="minor"/>
      </rPr>
      <t xml:space="preserve"> Difundir el manual elaborado por la Diputación Foral de Álava sobre uso de un lenguaje inclusivo entre toda la plantilla, garantizando su accesibilidad a través de la intranet y su disponibilidad en todos los departamentos.</t>
    </r>
  </si>
  <si>
    <r>
      <t>7.2.2.</t>
    </r>
    <r>
      <rPr>
        <sz val="11"/>
        <color theme="1"/>
        <rFont val="Tw Cen MT"/>
        <family val="2"/>
        <scheme val="minor"/>
      </rPr>
      <t xml:space="preserve"> Realizar una acción formativa dirigida a toda la plantilla para comunicar los contenidos del manual y facilitar su aplicación práctica en la redacción de documentos, correos electrónicos y comunicaciones técnicas.</t>
    </r>
  </si>
  <si>
    <t>7.3. Transformar la cultura organizacional hacia modelos de liderazgo feministas, corresponsables y equitativos.</t>
  </si>
  <si>
    <r>
      <t>7.3.1.</t>
    </r>
    <r>
      <rPr>
        <sz val="11"/>
        <color theme="1"/>
        <rFont val="Tw Cen MT"/>
        <family val="2"/>
        <scheme val="minor"/>
      </rPr>
      <t xml:space="preserve"> Contratar a una persona experta en cultura organizacional pro igualdad para acompañar el diseño e implementación de acciones de cambio cultural.</t>
    </r>
  </si>
  <si>
    <t>Dirección / RR. HH. / Asistencia Técnica de Igualdad</t>
  </si>
  <si>
    <r>
      <t>7.3.2.</t>
    </r>
    <r>
      <rPr>
        <sz val="11"/>
        <color theme="1"/>
        <rFont val="Tw Cen MT"/>
        <family val="2"/>
        <scheme val="minor"/>
      </rPr>
      <t xml:space="preserve"> Desarrollar formación en liderazgo para la igualdad y con perspectiva de género dirigida a mandos intermedios, responsables de área y personal directivo.</t>
    </r>
  </si>
  <si>
    <r>
      <t>7.3.3.</t>
    </r>
    <r>
      <rPr>
        <sz val="11"/>
        <color theme="1"/>
        <rFont val="Tw Cen MT"/>
        <family val="2"/>
        <scheme val="minor"/>
      </rPr>
      <t xml:space="preserve"> Poner en marcha una acción formativa o programa de mentoring para promover el liderazgo y la visibilidad de las mujeres en el ámbito tecnológico y en la organización.</t>
    </r>
  </si>
  <si>
    <r>
      <t>7.3.4.</t>
    </r>
    <r>
      <rPr>
        <sz val="11"/>
        <color theme="1"/>
        <rFont val="Tw Cen MT"/>
        <family val="2"/>
        <scheme val="minor"/>
      </rPr>
      <t xml:space="preserve"> Realizar una formación específica sobre cultura organizacional pro equidad, centrada en valores, dinámicas y prácticas laborales igualitarias.</t>
    </r>
  </si>
  <si>
    <r>
      <t>7.3.5.</t>
    </r>
    <r>
      <rPr>
        <sz val="11"/>
        <color theme="1"/>
        <rFont val="Tw Cen MT"/>
        <family val="2"/>
        <scheme val="minor"/>
      </rPr>
      <t xml:space="preserve"> Diseñar los contenidos en materia de igualdad a incorporar en el manual de acogida de las personas trabajadoras, asegurando que reflejen los compromisos, medidas y procedimientos del Plan de Igualdad.</t>
    </r>
  </si>
  <si>
    <r>
      <t>8.1.1.</t>
    </r>
    <r>
      <rPr>
        <sz val="11"/>
        <color theme="1"/>
        <rFont val="Tw Cen MT"/>
        <family val="2"/>
        <scheme val="minor"/>
      </rPr>
      <t xml:space="preserve"> Impulsar la revisión del convenio colectivo para adecuar el artículo 27 a la definición de violencia machista del Decreto Legislativo 1/2023, incorporando medios de acreditación ampliados y lenguaje no sexista.</t>
    </r>
  </si>
  <si>
    <r>
      <t>8.1.2.</t>
    </r>
    <r>
      <rPr>
        <sz val="11"/>
        <color theme="1"/>
        <rFont val="Tw Cen MT"/>
        <family val="2"/>
        <scheme val="minor"/>
      </rPr>
      <t xml:space="preserve"> Mantener la inclusión de cláusulas de igualdad en la contratación externa, exigiendo protocolos propios frente al acoso sexual y por razón de sexo, y realizar seguimiento de su cumplimiento.</t>
    </r>
  </si>
  <si>
    <r>
      <t>8.2.1.</t>
    </r>
    <r>
      <rPr>
        <sz val="11"/>
        <color theme="1"/>
        <rFont val="Tw Cen MT"/>
        <family val="2"/>
        <scheme val="minor"/>
      </rPr>
      <t xml:space="preserve"> Difundir anualmente, con motivo del 25N, el Protocolo de actuación frente al acoso sexual y por razón de sexo, recordando los canales de denuncia y las garantías de confidencialidad.</t>
    </r>
  </si>
  <si>
    <r>
      <t>8.2.2.</t>
    </r>
    <r>
      <rPr>
        <sz val="11"/>
        <color theme="1"/>
        <rFont val="Tw Cen MT"/>
        <family val="2"/>
        <scheme val="minor"/>
      </rPr>
      <t xml:space="preserve"> Realizar una formación anual con motivo del 25N sobre violencia machista en el ámbito laboral y tecnológico (violencia digital, ciberacoso, micromachismos, responsabilidad institucional, etc.).</t>
    </r>
  </si>
  <si>
    <r>
      <t>8.2.3.</t>
    </r>
    <r>
      <rPr>
        <sz val="11"/>
        <color theme="1"/>
        <rFont val="Tw Cen MT"/>
        <family val="2"/>
        <scheme val="minor"/>
      </rPr>
      <t xml:space="preserve"> Incluir mensajes institucionales de tolerancia cero ante la violencia machista en las comunicaciones públicas y campañas internas de CCASA.</t>
    </r>
  </si>
  <si>
    <t>Dirección / Unidad web / Asistencia Técnica de Igualdad</t>
  </si>
  <si>
    <r>
      <t>9.1.3.</t>
    </r>
    <r>
      <rPr>
        <sz val="11"/>
        <color theme="1"/>
        <rFont val="Tw Cen MT"/>
        <family val="2"/>
        <scheme val="minor"/>
      </rPr>
      <t xml:space="preserve"> Coordinar con las áreas de la Diputación la financiación y el desarrollo de las adaptaciones informáticas necesarias para garantizar la desagregación por sexo en las herramientas de análisis y en los proyectos piloto.</t>
    </r>
  </si>
  <si>
    <t>1.1.1. Reunir al Grupo Motor del Plan (Asistencia Técnica de Igualdad y responsable de RR. HH.) una vez al mes, garantizando la coordinación técnica y la integración de la perspectiva de género en la gestión ordinaria.</t>
  </si>
  <si>
    <t>1.1.2. Convocar la Comisión de Seguimiento del Plan de Igualdad dos veces al año, para analizar avances y retos y aprobar los informes de planificación y seguimiento.</t>
  </si>
  <si>
    <t>1.2.1. Diseñar, elaborar y aprobar el Programa Operativo Anual de Igualdad con objetivos, medidas, acciones, responsables, indicadores y presupuesto.</t>
  </si>
  <si>
    <t>1.2.2. Elaborar el informe anual de seguimiento y evaluación del Plan.</t>
  </si>
  <si>
    <t>1.2.3. Elaborar la memoria de evaluación final del III Plan para la Igualdad.</t>
  </si>
  <si>
    <t>1.3.1. Enviar una comunicación institucional anual a toda la plantilla con un resumen de la planificación operativa y de los resultados del seguimiento y evaluación.</t>
  </si>
  <si>
    <t>1.3.2. Mantener el espacio en la intranet corporativa sobre igualdad que recoja el Plan vigente, los informes anuales, materiales formativos y noticias relevantes.</t>
  </si>
  <si>
    <t>2.1.1. Incluir cláusulas de igualdad en las bases de todos los procesos (lenguaje no sexista, composición equilibrada, cláusula de desempate, valoración del tiempo de corresponsabilidad, protección de la maternidad, valoración de formación en igualdad).</t>
  </si>
  <si>
    <t>2.1.2. Incorporar criterios de valoración específicos en igualdad, incluyendo conocimientos acreditados en igualdad y perspectiva de género en el ámbito tecnológico.</t>
  </si>
  <si>
    <t>2.1.3. Aplicar la Evaluación de Impacto de Género (EIG) en los procesos de selección y promoción para adaptar los criterios de valoración a las desigualdades detectadas.</t>
  </si>
  <si>
    <t>2.2.1. Aplicar acciones positivas en nuevas vacantes de puestos de responsabilidad, seleccionando al sexo menos representado hasta alcanzar un 40% de presencia en todos los niveles de responsabilidad de CCASA.</t>
  </si>
  <si>
    <t>2.2.2. Reducir la segregación horizontal, aplicando acciones positivas en nuevas vacantes que consistan en seleccionar al sexo menos representado hasta alcanzar un 40% de presencia en todas las áreas de CCASA.</t>
  </si>
  <si>
    <t>2.3.1. Crear un grupo de trabajo permanente entre la empresa seleccionadora, RR. HH. y la Asistencia Técnica de Igualdad para revisar las bases y la fase de valoración de méritos, detectar sesgos y proponer mejoras. El grupo de trabajo estará integrado por la dirección de CCASA, representación sindical, de recursos humanos e igualdad.</t>
  </si>
  <si>
    <t>2.3.2. Elaborar un informe anual de seguimiento y evaluación de los procesos de acceso y promoción con datos desagregados por sexo, tipo de proceso y resultados.</t>
  </si>
  <si>
    <t>3.1.1. Desarrollar una formación mixta anual dirigida a toda la plantilla con los siguientes módulos: 1) Legislación vigente en materia de igualdad. 2) Igualdad en la tecnología y entornos digitales. 3) Incorporación de la perspectiva de género en la gestión y en los proyectos tecnológicos. 4) Elaboración de Evaluaciones de Impacto de Género (EIG). Temas complementarios: comunicación inclusiva, prevención de la violencia digital, liderazgo igualitario.</t>
  </si>
  <si>
    <t>3.2.1. Ofrecer una formación anual dirigida a mujeres centrada en el empoderamiento profesional, el liderazgo y la gestión de la autoridad en entornos masculinizados.</t>
  </si>
  <si>
    <t>3.2.2. Realizar una formación anual dirigida a hombres sobre nuevas masculinidades, corresponsabilidad, prevención de la violencia machista y transformación de las dinámicas masculinizadas en los equipos.</t>
  </si>
  <si>
    <t>3.3.2. Solicitar a las entidades proveedoras un informe previo sobre los contenidos de la formación, indicando cómo se integra la perspectiva de género.</t>
  </si>
  <si>
    <t>3.3.3. Elaborar un informe anual sobre las formaciones externas realizadas, detallando contenidos, personas asistentes (desagregadas por sexo) y valoración del cumplimiento de las cláusulas de igualdad.</t>
  </si>
  <si>
    <t>4.1.1. Incorporar en la nueva contratación del servicio de prevención cláusulas que aseguren la disponibilidad de personal técnico con formación acreditada en igualdad y PRL con perspectiva de género, e incluyan la obligación de elaborar un nuevo Plan de Prevención con perspectiva de género. La Asistencia Técnica en Igualdad revisará los documentos elaborados y propondrá mejoras o ajustes.</t>
  </si>
  <si>
    <t>4.1.2. Elaborar, en el marco del nuevo contrato de prevención, un Plan de Prevención con perspectiva de género, conforme al Decreto Legislativo 1/2023 y a las herramientas de Osalan.</t>
  </si>
  <si>
    <t>4.2.1. Establecer una planificación anual de trabajo conjunta entre RR. HH., la Asistencia Técnica de Igualdad y el Servicio de Prevención, con al menos dos reuniones anuales (una de planificación y otra de seguimiento).</t>
  </si>
  <si>
    <t>4.2.2. Incluir en las reuniones anuales de coordinación un apartado fijo sobre riesgos emergentes —teletrabajo, burnout, síndrome del impostor, violencia digital y discriminación algorítmica—, analizando su evolución y posibles medidas preventivas.</t>
  </si>
  <si>
    <t>4.2.3. Elaborar un informe anual sobre seguridad y salud laboral con perspectiva de género, realizado por el Servicio de Prevención y revisado por la Asistencia Técnica de Igualdad.</t>
  </si>
  <si>
    <t>5.1.1. Realizar anualmente la auditoría retributiva conforme al Real Decreto 902/2020 y a la herramienta oficial del Ministerio, incluyendo el análisis de brechas salariales, diferencias justificadas y no justificadas, y causas identificadas.</t>
  </si>
  <si>
    <t>5.1.2. Presentar los resultados de la auditoría retributiva a la plantilla mediante sesión informativa y/o difusión en la intranet, garantizando la transparencia y la comprensión del sistema retributivo.</t>
  </si>
  <si>
    <t>6.1.1. Revisar y evaluar anualmente las medidas de conciliación y flexibilidad horaria, adaptándolas a las necesidades reales de la plantilla y a los cambios normativos y organizativos.</t>
  </si>
  <si>
    <t>6.1.3. Difundir a toda la plantilla las medidas de conciliación disponibles y los resultados de la evaluación y del cuestionario, mediante folleto o comunicación institucional.</t>
  </si>
  <si>
    <t>7.1.1. Mantener la presencia del Plan de Igualdad en los canales internos y externos de comunicación corporativa (intranet, web, presentaciones institucionales, eventos, memorias), garantizando la actualización anual de sus contenidos y resultados.</t>
  </si>
  <si>
    <t>7.1.2. Incorporar mensajes institucionales sobre igualdad y diversidad en las comunicaciones públicas, ponencias técnicas y materiales corporativos.</t>
  </si>
  <si>
    <t>7.2.1. Difundir el manual elaborado por la Diputación Foral de Álava sobre uso de un lenguaje inclusivo entre toda la plantilla, garantizando su accesibilidad a través de la intranet y su disponibilidad en todos los departamentos.</t>
  </si>
  <si>
    <t>7.2.2. Realizar una acción formativa dirigida a toda la plantilla para comunicar los contenidos del manual y facilitar su aplicación práctica en la redacción de documentos, correos electrónicos y comunicaciones técnicas.</t>
  </si>
  <si>
    <t>7.3.1. Contratar a una persona experta en cultura organizacional pro igualdad para acompañar el diseño e implementación de acciones de cambio cultural.</t>
  </si>
  <si>
    <t>7.3.2. Desarrollar formación en liderazgo para la igualdad y con perspectiva de género dirigida a mandos intermedios, responsables de área y personal directivo.</t>
  </si>
  <si>
    <t>7.3.3. Poner en marcha una acción formativa o programa de mentoring para promover el liderazgo y la visibilidad de las mujeres en el ámbito tecnológico y en la organización.</t>
  </si>
  <si>
    <t>7.3.4. Realizar una formación específica sobre cultura organizacional pro equidad, centrada en valores, dinámicas y prácticas laborales igualitarias.</t>
  </si>
  <si>
    <t>7.3.5. Diseñar los contenidos en materia de igualdad a incorporar en el manual de acogida de las personas trabajadoras, asegurando que reflejen los compromisos, medidas y procedimientos del Plan de Igualdad.</t>
  </si>
  <si>
    <t>8.1.1. Impulsar la revisión del convenio colectivo para adecuar el artículo 27 a la definición de violencia machista del Decreto Legislativo 1/2023, incorporando medios de acreditación ampliados y lenguaje no sexista.</t>
  </si>
  <si>
    <t>8.1.2. Mantener la inclusión de cláusulas de igualdad en la contratación externa, exigiendo protocolos propios frente al acoso sexual y por razón de sexo, y realizar seguimiento de su cumplimiento.</t>
  </si>
  <si>
    <t>8.2.1. Difundir anualmente, con motivo del 25N, el Protocolo de actuación frente al acoso sexual y por razón de sexo, recordando los canales de denuncia y las garantías de confidencialidad.</t>
  </si>
  <si>
    <t>8.2.2. Realizar una formación anual con motivo del 25N sobre violencia machista en el ámbito laboral y tecnológico (violencia digital, ciberacoso, micromachismos, responsabilidad institucional, etc.).</t>
  </si>
  <si>
    <t>8.2.3. Incluir mensajes institucionales de tolerancia cero ante la violencia machista en las comunicaciones públicas y campañas internas de CCASA.</t>
  </si>
  <si>
    <t>9.1.3. Coordinar con las áreas de la Diputación la financiación y el desarrollo de las adaptaciones informáticas necesarias para garantizar la desagregación por sexo en las herramientas de análisis y en los proyectos piloto.</t>
  </si>
  <si>
    <t xml:space="preserve">1. GESTIÓN Y COMUNICACIÓN DEL PLAN DE IGUALDAD </t>
  </si>
  <si>
    <t>TOTAL</t>
  </si>
  <si>
    <t xml:space="preserve">METAS </t>
  </si>
  <si>
    <t>MEDIDAS</t>
  </si>
  <si>
    <t>(en blanco)</t>
  </si>
  <si>
    <t>2026-208</t>
  </si>
  <si>
    <t>2026-2028</t>
  </si>
  <si>
    <t>2027-2028</t>
  </si>
  <si>
    <t>por definir</t>
  </si>
  <si>
    <t>CRONOGRAMA</t>
  </si>
  <si>
    <r>
      <t>3.3.1.</t>
    </r>
    <r>
      <rPr>
        <sz val="11"/>
        <color theme="1"/>
        <rFont val="Tw Cen MT"/>
        <family val="2"/>
        <scheme val="minor"/>
      </rPr>
      <t xml:space="preserve"> Incorporar cláusulas de igualdad en todos los contratos, convenios o acuerdos relativos a formación externa, garantizando que los contenidos, metodologías y materiales incluyan la perspectiva de género y asegurar que la plataforma de formación inluya la perspectiva de género. </t>
    </r>
  </si>
  <si>
    <r>
      <t>9.1.4.</t>
    </r>
    <r>
      <rPr>
        <sz val="11"/>
        <color theme="1"/>
        <rFont val="Tw Cen MT"/>
        <family val="2"/>
        <scheme val="minor"/>
      </rPr>
      <t xml:space="preserve"> Automatizar la explotación de datos desagregados por sexo en las herramientas de géstión municipal y dar acceso a la información desagregada a las entidades y personas usuarias.</t>
    </r>
  </si>
  <si>
    <r>
      <t>9.1.1.</t>
    </r>
    <r>
      <rPr>
        <sz val="11"/>
        <color theme="1"/>
        <rFont val="Tw Cen MT"/>
        <family val="2"/>
        <scheme val="minor"/>
      </rPr>
      <t xml:space="preserve"> Participar en el proyecto de diagnóstico del cumplimiento del artículo 17 de la Ley Orgánica 3/2007, liderando internamente la identificación de todas las aplicaciones y bases de dato, proyectos y programas que s que gestionan información de personas, determinando cuáles recogen la variable sexo y cuáles deben adaptarse. • Fase 1: identificar proyectos programas aplicaciones o productos de CCASA . • Fase 2: priorizar por impacto y riesgo. • Fase 3: elaborar un cronograma factible en función de los recursos del Centro de Cálculo.</t>
    </r>
  </si>
  <si>
    <r>
      <t>9.1.5 .</t>
    </r>
    <r>
      <rPr>
        <sz val="11"/>
        <color theme="1"/>
        <rFont val="Tw Cen MT"/>
        <family val="2"/>
        <scheme val="minor"/>
      </rPr>
      <t xml:space="preserve">Establecer la obligación de que los nuevos proyectos que aborde CCASA incluyan la perspectiva de género. </t>
    </r>
  </si>
  <si>
    <r>
      <t>9.1.2.</t>
    </r>
    <r>
      <rPr>
        <sz val="11"/>
        <color theme="1"/>
        <rFont val="Tw Cen MT"/>
        <family val="2"/>
        <scheme val="minor"/>
      </rPr>
      <t xml:space="preserve">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y coordinar el servicio de igualdad con la Unidad de Estrategia del Dato. </t>
    </r>
  </si>
  <si>
    <r>
      <t>6.1.2.</t>
    </r>
    <r>
      <rPr>
        <sz val="11"/>
        <color theme="1"/>
        <rFont val="Tw Cen MT"/>
        <family val="2"/>
        <scheme val="minor"/>
      </rPr>
      <t xml:space="preserve"> Elaborar y aplicar un cuestionario  de satisfacción sobre conciliación y corresponsabilidad, analizar los resultados y elaborar un informe interno con propuestas de mejora.</t>
    </r>
  </si>
  <si>
    <t xml:space="preserve">Reuniónes la primera semana de cada mes. Convoca RK. Objetivo: trasladar los avances del periodo anterior y planificar el trabajo del mes siguiente. </t>
  </si>
  <si>
    <t>Reunión convocada el 19 de enero. Objetivos de la reunión  Constitución de la Comisión Negociadora
Aprobación y firma del Plan
Firma del Acta de Delegación
Firma de la Hoja estadística del plan. 
Presentación y aprobación del Plan operativo 2026. Para la aprobación del plan en el Regcon se requiere:  
Acta de Constitución: De la Comisión Negociadora, en nuestro  caso Comisión de Seguimiento del III Plan de Igualdad
Acta de Aprobación del Plan: Firmada por la CN o en nuestro caso CSPI
Acta de Delegación: Para designar a la persona que presenta el plan en REGCON.
Texto del Plan de Igualdad: Firmado (PDF) y sin firmar (Word).
Diagnóstico y Auditoría Salarial.
Hojas Estadísticas: Modelo Anexo 2 del RD 901/2020: Es un resumen de las características del plan que hay que consensuar con la Comisión Negociadora y firmar (adjunto)
Legitimación: Actas de elecciones o comunicación a sindicatos (si no hay representación legal). </t>
  </si>
  <si>
    <t xml:space="preserve">El plan operativo se realiza entre el 9 y el 12 de enero, abarcando 36 acciones y tras ser contrastaro en reunión con Grupo Motor. La Comisión de Igualdad lo validará el 19 de enero, haciendo las aportaciones que considere necesari. </t>
  </si>
  <si>
    <t>El informe anual de seguimiento se realizara la segunda semana de diciembre de 2026</t>
  </si>
  <si>
    <t xml:space="preserve">Tras la reunión del 19 se realizará una comunicación operativa a toda la plantilla enviando: el plan aprobado y el plan operativo. </t>
  </si>
  <si>
    <t>El plan aprobado se subira a la intranet. Hablar con la experta en informática, por si tiene ideas con respecto a la difusión y organización del plan. Esto se realizará junto con la accion anterio en la semana del 19 al 25</t>
  </si>
  <si>
    <t>Realizar evaluación de impacto de género de los procesos de selección previstos para el año. Febrero (primera-segunda semana</t>
  </si>
  <si>
    <t xml:space="preserve">Elaborar un modelo de solicitud y de informe. Elaborar un lista. </t>
  </si>
  <si>
    <t xml:space="preserve">Decicir cuando y con respecto a qué datos (como en contratación). Lo logico seria recoger en 2026 datos de 2025 e ir pautando los informes. </t>
  </si>
  <si>
    <t xml:space="preserve">Noviembre. Grupos de  y formación con respecto a 25 N. Decidir cuantos </t>
  </si>
  <si>
    <r>
      <t>Previstos: 20 analistas funcionales. Bases enviadas a responsable. Incluir claúsulas en enero.  A finales de añ</t>
    </r>
    <r>
      <rPr>
        <i/>
        <sz val="11"/>
        <color theme="1"/>
        <rFont val="Tw Cen MT"/>
        <family val="2"/>
        <scheme val="minor"/>
      </rPr>
      <t>o: técnicos de soporte microinformático.</t>
    </r>
    <r>
      <rPr>
        <sz val="11"/>
        <color theme="1"/>
        <rFont val="Tw Cen MT"/>
        <family val="2"/>
        <scheme val="minor"/>
      </rPr>
      <t xml:space="preserve"> 8-12</t>
    </r>
  </si>
  <si>
    <t xml:space="preserve">Ya están incorporados en la titulos. Revisar y recoger. Mirar posibles temas tecnicos de analistas funcionales y personal tecnico de soporte informático. </t>
  </si>
  <si>
    <t>Se ha lanzado responsable de unidad de negocio de hacienda, en la que se prioriza a mujeres. Problema internos.</t>
  </si>
  <si>
    <t xml:space="preserve">La medida no se aplica en analistas funcionales pero se vera en la EIG.  </t>
  </si>
  <si>
    <t xml:space="preserve">Reuniones del proceso de selección de analista de sistemas. Integración. </t>
  </si>
  <si>
    <t>Febrero con respecto a datos de 2025</t>
  </si>
  <si>
    <t xml:space="preserve">Incorporar la perspectiva de género en los procesos de formación. Febrero. Investigar posibilidades de incluir la pespectiva de género en el temario.  En la plataforma poneer como condiciion que se puedan colgar contenidos propios y hacer obligatoria la formación en igualdad. </t>
  </si>
  <si>
    <t xml:space="preserve">Formación a realizar en marzo. Decidir tema para este año. Determinar nuemero de personas y caracteristicas de la formación. 2,5  horas. Igualdad en la tecnologia. Formación presencial. No obligatoria.  abierta a quien quiera coninscripcion previa. </t>
  </si>
  <si>
    <t xml:space="preserve">Formación a realizar de forma simultánea a las acciones de empoderamiento. Decirdir tema para este año.  Helena contacta gizonduz. Raquel organiza los grupos. </t>
  </si>
  <si>
    <t>Formación a realizar en abril-mayo. Reflexión sobre plan de iugaldad de CCASA, mento actual, cambios e impalntación del plan operativo -Formación accion. . Determinar nuemero de personas y caracteristicas de la formación</t>
  </si>
  <si>
    <t xml:space="preserve">Volcado de datos Uxue y Deiane, Leyre Informe; Helena herramienta de difusión.  .Volcado de datos en abril-mayo. Elaboración de informe en Junio. </t>
  </si>
  <si>
    <t xml:space="preserve">Elaborar un resumen en junio y material de difusión. de la auditoria reptributiva y presentarla en intranet o enviar mail. </t>
  </si>
  <si>
    <t xml:space="preserve">Hay que hacer una modificación parcial del convenio.  Se incrementará el periodo de flexibilidad.  Hacwer cuestionario despues. </t>
  </si>
  <si>
    <t xml:space="preserve">hacer la propuesta de modificación tercera semana de enero. 12-14 enero. </t>
  </si>
  <si>
    <t xml:space="preserve">Reunión con la unidad web. En febrero Convocar a toda la unidad web y revisar la intraneet y los modos de comunicación de la políticas d eigualdad. Y organizar 8 M.   Vamos a intentar que la formación mixta sea en torno a esta fecha. Y si los grupos son funcionales, divulgar los resultados de los grupos. </t>
  </si>
  <si>
    <t xml:space="preserve">Reunión en septiebre con unidad de Estrategia del Dato. Objetivo: puesta al dia </t>
  </si>
  <si>
    <t xml:space="preserve">.  Implantación del cuestionario en febrero. </t>
  </si>
  <si>
    <t>Reuníón 28 de enero de experta</t>
  </si>
  <si>
    <t>Utilizar el cuestionario para identificar proyectos estrategicos. Evaluación de grado de depencia IFBS  y Sergaraba fase 2. Hay intención de publicar la web de CCASa los proyectos de CCASA nuevos.  En febrero se publican las nuevas contrataciones y el plan anual de proyectos.  Planificar en febrero cuando el PAP 2026 este aprobado. Reunirse con la Dircción de Igualdad para establecer criterios para esa priorización.</t>
  </si>
  <si>
    <t xml:space="preserve">En noviembre hacer un informe de inclusión de los contratos. Mandar mail a las empresas para pedir. </t>
  </si>
  <si>
    <t xml:space="preserve">Formación de dos horas. Teams. Revisión previa y reciclaje. </t>
  </si>
  <si>
    <t xml:space="preserve">Protocolo de medidas LGTBI. Revisar la legislación vigente y propuesta de actuación y revisar la actuación en febrero.  </t>
  </si>
  <si>
    <t>25N Comunicacado. Publicar y difundir a la plantilla</t>
  </si>
  <si>
    <t xml:space="preserve">Octubre.  Enviarlo </t>
  </si>
  <si>
    <t xml:space="preserve">Accion formativa a realizar Octubre. 2,5 horas. ¿Cuántos grupos? Como organizar. Voluntario y presencial. </t>
  </si>
  <si>
    <t xml:space="preserve">En mayo junio, investigar el mercado, buscar ofertas y propuestas de trabajo y trasalar los resultados de la formaciónes. </t>
  </si>
  <si>
    <t xml:space="preserve">3.3.1. Incorporar cláusulas de igualdad en todos los contratos, convenios o acuerdos relativos a formación externa, garantizando que los contenidos, metodologías y materiales incluyan la perspectiva de género y asegurar que la plataforma de formación inluya la perspectiva de género. </t>
  </si>
  <si>
    <t>6.1.2. Elaborar y aplicar un cuestionario  de satisfacción sobre conciliación y corresponsabilidad, analizar los resultados y elaborar un informe interno con propuestas de mejora.</t>
  </si>
  <si>
    <t>9.1.1. Participar en el proyecto de diagnóstico del cumplimiento del artículo 17 de la Ley Orgánica 3/2007, liderando internamente la identificación de todas las aplicaciones y bases de dato, proyectos y programas que s que gestionan información de personas, determinando cuáles recogen la variable sexo y cuáles deben adaptarse. • Fase 1: identificar proyectos programas aplicaciones o productos de CCASA . • Fase 2: priorizar por impacto y riesgo. • Fase 3: elaborar un cronograma factible en función de los recursos del Centro de Cálculo.</t>
  </si>
  <si>
    <t xml:space="preserve">9.1.2.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y coordinar el servicio de igualdad con la Unidad de Estrategia del Dato. </t>
  </si>
  <si>
    <t>9.1.4. Automatizar la explotación de datos desagregados por sexo en las herramientas de géstión municipal y dar acceso a la información desagregada a las entidades y personas usuarias.</t>
  </si>
  <si>
    <t xml:space="preserve">9.1.5 .Establecer la obligación de que los nuevos proyectos que aborde CCASA incluyan la perspectiva de género. </t>
  </si>
  <si>
    <t>ÁREA</t>
  </si>
  <si>
    <t>eje</t>
  </si>
  <si>
    <t>meta</t>
  </si>
  <si>
    <t>medida</t>
  </si>
  <si>
    <t>responsable</t>
  </si>
  <si>
    <t>descripción de accion proyectada</t>
  </si>
  <si>
    <t>descripción de accion realizada</t>
  </si>
  <si>
    <t>fecha proyectada</t>
  </si>
  <si>
    <t>fecha realizada</t>
  </si>
  <si>
    <t>situación de cumplimiento</t>
  </si>
  <si>
    <t>horas dedicación</t>
  </si>
  <si>
    <t>prespuesto</t>
  </si>
  <si>
    <t>Columna</t>
  </si>
  <si>
    <t>Nombre Exacto del Encabezado</t>
  </si>
  <si>
    <t>A</t>
  </si>
  <si>
    <t>B</t>
  </si>
  <si>
    <t>C</t>
  </si>
  <si>
    <t>D</t>
  </si>
  <si>
    <t>E</t>
  </si>
  <si>
    <t>F</t>
  </si>
  <si>
    <t>G</t>
  </si>
  <si>
    <t>H</t>
  </si>
  <si>
    <t>I</t>
  </si>
  <si>
    <t>J</t>
  </si>
  <si>
    <t>K</t>
  </si>
  <si>
    <t>Medida 1.1.1. Reunir al Grupo Motor del Plan una vez al mes
El Grupo Motor, integrado por el equipo del Departamento de Recursos Humanos de CCASA (cuatro personas) y la Asistencia Técnica de Igualdad (Red Kuorum), se reúne la primera semana de cada mes. Estas reuniones, convocadas por la Asistencia Técnica de Igualdad, tienen como objetivo trasladar los avances del periodo anterior y planificar el trabajo del mes siguiente. Son sesiones operativas en las que se revisan las acciones en curso, se identifican incidencias o dificultades en su ejecución, se coordinan las diferentes áreas implicadas, y se toman decisiones para garantizar que el Plan se implanta en tiempo y forma.
En 2026, el Grupo Motor celebrará un total de 12 reuniones mensuales. Estas sesiones son el espacio de coordinación técnica que garantiza la integración de la perspectiva de género en la gestión ordinaria de CCASA: cada decisión sobre procesos de selección, formación, auditoría retributiva, comunicación institucional o incorporación de la perspectiva de género en productos y servicios tecnológicos se contrasta en el Grupo Motor para asegurar que responde a los objetivos del Plan y se ejecuta con los estándares de calidad necesarios.</t>
  </si>
  <si>
    <t>primera semana de cada mes</t>
  </si>
  <si>
    <t>Nº de reuniones celebradas: 1 Actas elaboradas / Participación registrada.</t>
  </si>
  <si>
    <t>Medida 1.1.2. Convocar la Comisión de Seguimiento del Plan de Igualdad dos veces al año
La Comisión de Seguimiento del III Plan de Igualdad es el órgano colegiado de negociación, seguimiento y evaluación del Plan, integrado por representación de la empresa y representación sindical (Comité de Empresa). En 2026, la Comisión se reúne en dos ocasiones: la primera el 19 de enero, en sesión constitutiva en la que se formaliza la composición de la Comisión, se aprueba y firma el III Plan, se acuerdan los trámites para su inscripción en REGCON, y se presenta y valida el Plan Operativo Anual 2026; la segunda reunión se celebrará en el segundo semestre del año (julio o septiembre) para analizar avances y retos a mitad de ejercicio.
Estas dos reuniones anuales garantizan que el despliegue del Plan cuenta con el respaldo institucional y sindical necesario, que las decisiones estratégicas se toman de manera participada, y que existe un mecanismo de rendición de cuentas transparente ante la representación de la plantilla.</t>
  </si>
  <si>
    <t xml:space="preserve">19 de enero primera reunión. 
Segunda reunión: junio o julio. </t>
  </si>
  <si>
    <t>Medida 1.2.1. Diseñar, elaborar y aprobar el Programa Operativo Anual de Igualdad 2026
El Plan Operativo Anual 2026 es el documento que concreta las acciones prioritarias del primer año de implantación del III Plan. Su elaboración se realiza entre el 9 y el 12 de enero de 2026, en el marco del trabajo del Grupo Motor, que revisa en detalle las 36 acciones seleccionadas, contrasta su viabilidad técnica y temporal, consensua calendarios, define responsabilidades y concreta los compromisos específicos de cada acción. El documento resultante se presenta a la Comisión de Seguimiento el 19 de enero para su validación y, tras incorporar las aportaciones que la Comisión realice, queda formalmente aprobado.
Este Programa Operativo incluye objetivos, medidas, acciones, responsables, indicadores de seguimiento y presupuesto asignado, garantizando que cada acción tiene un marco claro de ejecución, una temporalización definida, y unos indicadores que permitirán valorar su cumplimiento.</t>
  </si>
  <si>
    <t>entre el 9 y el 12 de enero de 2026; 19 de enero</t>
  </si>
  <si>
    <t>Medida 1.2.2. Elaborar el informe anual de seguimiento y evaluación del Plan
En diciembre de 2026, concretamente la segunda semana del mes, se elabora el informe anual de seguimiento y evaluación del Plan Operativo 2026. Este informe, que será presentado a la Comisión de Seguimiento en la primera reunión de 2027, analiza el grado de cumplimiento de las 36 acciones priorizadas, identifica fortalezas y debilidades en su ejecución, presenta resultados cuantitativos y cualitativos (indicadores de proceso, de resultado y, en la medida de lo posible, de impacto), y formula propuestas de ajuste o mejora para el Plan Operativo 2027.
Este informe anual es el instrumento central de rendición de cuentas del Plan y la base para la mejora continua: permite valorar qué funciona y qué no funciona, qué medidas generan los resultados esperados y cuáles requieren ser reformuladas, qué obstáculos aparecen en la implantación y cómo superarlos.</t>
  </si>
  <si>
    <t>En diciembre de 2026; segunda semana del mes</t>
  </si>
  <si>
    <t>Medida 1.3.1. Enviar una comunicación institucional anual a toda la plantilla
Tras la reunión de la Comisión de Seguimiento del 19 de enero, en la que se aprueba el III Plan y se valida el Plan Operativo Anual 2026, se realiza una comunicación institucional a toda la plantilla. Esta comunicación, que se ejecuta en la semana del 19 al 25 de enero, incluye el envío del III Plan aprobado, el Plan Operativo 2026, y un resumen o folleto divulgativo que presenta de manera accesible los principales objetivos, metas y acciones del año. La comunicación se envía por correo electrónico y se publica en la intranet corporativa.
No se realiza presentación pública presencial inmediata; se prioriza la difusión escrita garantizando que toda la plantilla tiene acceso directo a los documentos completos y a materiales divulgativos que facilitan su comprensión.</t>
  </si>
  <si>
    <t>19 de enero; semana del 19 al 25 de enero</t>
  </si>
  <si>
    <t>Medida 1.3.2. Mantener el espacio en la intranet corporativa sobre igualdad
El espacio de igualdad en la intranet corporativa se actualiza y consolida como el repositorio central de información sobre el III Plan. En la semana del 19 al 25 de enero se sube el III Plan aprobado y el Plan Operativo 2026. A lo largo del año, este espacio se mantiene actualizado con informes anuales, materiales formativos, noticias relevantes, y cualquier otro contenido relacionado con las políticas de igualdad de CCASA.
En febrero se convoca una reunión amplia con el personal de la unidad web y su responsable para revisar la organización del espacio de igualdad en la intranet, explorar formatos innovadores de comunicación de las políticas de igualdad, y coordinar las acciones del 8 de marzo. Esta reunión busca involucrar a la unidad web como aliada estratégica en la comunicación institucional de la igualdad, garantizando que el espacio de la intranet es accesible, atractivo, pedagógico y actualizado.</t>
  </si>
  <si>
    <t>semana del 19 al 25 de enero; A lo largo del año; En febrero; 8 de marzo</t>
  </si>
  <si>
    <t>Medida 2.1.1. Incluir cláusulas de igualdad en las bases de todos los procesos
En enero de 2026, CCASA enviará las bases de la convocatoria de 20 plazas de analistas funcionales al responsable correspondiente. Antes de su publicación, se revisan e incorporan todas las cláusulas de igualdad exigibles: lenguaje no sexista en toda la redacción de las bases, garantía de composición equilibrada de tribunales (o justificación razonada de su imposibilidad), cláusula de desempate favorable al sexo menos representado en igualdad de puntuación, valoración del tiempo dedicado a corresponsabilidad de cuidados como mérito computable, protección específica de situaciones de embarazo o lactancia con adaptaciones necesarias en las pruebas, y valoración de la formación acreditada en igualdad de mujeres y hombres.
A finales de año, si se convoca el proceso de técnicos y técnicas de soporte microinformático (8-12 plazas), se aplicará el mismo procedimiento de revisión e incorporación de cláusulas. Este proceso es estratégico a largo plazo: CCASA prevé llegar hasta 20 plazas de personal técnico de soporte microinformático en el horizonte del III Plan, por lo que la convocatoria de 2026 marca un precedente metodológico fundamental.</t>
  </si>
  <si>
    <t>En enero de 2026; A finales de año</t>
  </si>
  <si>
    <t>Medida 2.1.2. Incorporar criterios de valoración específicos en igualdad
La valoración de la formación en igualdad ya está incorporada en las titulaciones y cursos exigibles en los procesos de CCASA. En 2026 se revisa y documenta su mantenimiento en las bases de analistas funcionales, asegurando que esta valoración aparece de manera explícita y computable. Además, se exploran contenidos técnicos con perspectiva de género específicos del ámbito tecnológico (sesgos de género en algoritmos, incorporación de la perspectiva de género en el análisis y tratamiento de datos, diseño de interfaces inclusivas, etc.) para su posible inclusión en temarios o como criterios de valoración en procesos futuros.
Se prioriza la revisión de los temarios del proceso de analistas funcionales que se convoca en febrero, explorando la viabilidad de incluir conocimientos en materia de igualdad aplicada a la tecnología como parte de los contenidos evaluables.</t>
  </si>
  <si>
    <t>en febrero</t>
  </si>
  <si>
    <t>Medida 2.1.3. Aplicar la Evaluación de Impacto de Género (EIG) en los procesos de selección
Esta es una de las medidas más innovadoras del POA 2026. La Evaluación de Impacto de Género es una herramienta preventiva que permite anticipar cómo un proceso de selección puede reproducir o amplificar desigualdades estructurales entre mujeres y hombres, y ajustar los criterios de valoración para contrarrestar esos efectos. En la primera o segunda semana de febrero se realiza la EIG del proceso de analistas funcionales, analizando: composición por sexo de las candidaturas potenciales en el sector tecnológico, barreras específicas que enfrentan las mujeres en el acceso a este tipo de puestos, criterios de valoración que podrían introducir sesgos indirectos de género, y propuestas de ajuste (mayor ponderación de formación en igualdad, valoración de experiencia en proyectos con perspectiva de género, etc.).
La EIG es ex ante, no aplicable a bases ya aprobadas, por lo que su realización en enero-febrero es estratégica para incorporar sus recomendaciones en las bases antes de su publicación definitiva. Si el proceso de técnicos/as de soporte microinformático se convoca a finales de año, se realizará también su correspondiente EIG.
Nota sobre indicadores: Los indicadores propuestos en el III Plan para estas medidas son adecuados: porcentaje de procesos con cláusulas de igualdad, tipología de cláusulas aplicadas, número de procesos con criterios específicos en igualdad, número de EIG realizadas e incorporación de ajustes derivados de la EIG. Estos indicadores permitirán valorar tanto el cumplimiento formal como el impacto real de las medidas.</t>
  </si>
  <si>
    <t>primera o segunda semana de febrero; en enero; a finales de año</t>
  </si>
  <si>
    <t>Medida 2.2.1. Aplicar acciones positivas en nuevas vacantes de puestos de responsabilidad
En 2026 se ha lanzado un proceso de promoción interna para la vacante de responsable de la Unidad de Negocio de Hacienda, aplicando discriminación positiva explícita: en igualdad de capacitación, se prioriza a mujeres para acceder a este puesto de responsabilidad. Esta medida responde a la constatación de que las mujeres están infrarrepresentadas en los niveles directivos de CCASA, y que las acciones de sensibilización o formación, aunque necesarias, no han sido suficientes para revertir esta situación.
La aplicación de esta medida puede generar incidencias internas (cuestionamientos sobre su legitimidad, resistencias, debates sobre meritocracia), que se gestionan con respaldo legal sólido y comunicación institucional transparente sobre los fundamentos normativos y la justificación técnica de las acciones positivas.</t>
  </si>
  <si>
    <t>Medida 2.2.2. Reducir la segregación horizontal
La medida de acción positiva no se aplicará en el proceso de analistas funcionales, ya que a priori existe un equilibrio aproximado 40/60 en este perfil profesional. Sin embargo, la EIG verificará esta hipótesis y determinará si, en función de los datos reales de candidaturas y de la composición por sexo de la bolsa de trabajo existente, procedería aplicar algún tipo de acción positiva.</t>
  </si>
  <si>
    <t>Medida 2.3.1. Crear un grupo de trabajo permanente para revisar bases y detectar sesgos
Se constituye un grupo de trabajo permanente integrado por la empresa seleccionadora, el Departamento de Recursos Humanos y la Asistencia Técnica de Igualdad. Este grupo se reúne en el marco del proceso de selección de analistas de sistemas (se entiende que es el proceso de analistas funcionales mencionado anteriormente) para revisar las bases, la fase de valoración de méritos, detectar sesgos y proponer mejoras.
La Asistencia Técnica de Igualdad participa en el tribunal como asesora, tiene acceso a los datos y currículos de las personas candidatas, y recibe los listados desagregados por sexo de: personas presentadas, personas admitidas, y desglose por sexo en cada fase del proceso. Este acceso permite un análisis en tiempo real de posibles brechas de género que se van generando a lo largo del proceso selectivo, y la formulación de recomendaciones inmediatas si se detectan sesgos.</t>
  </si>
  <si>
    <t>Medida 2.3.2. Elaborar un informe anual de seguimiento y evaluación de los procesos
En febrero de 2026 se elabora el informe anual de seguimiento y evaluación de los procesos de acceso y promoción con datos del año natural 2025. Este informe, alineado con los requerimientos de la auditoría retributiva y con los indicadores del Plan de Igualdad, incluye: número y tipo de procesos convocados, datos desagregados por sexo de personas candidatas en cada fase (presentación, admisión, fase de valoración, resultado final), análisis de brechas de género detectadas en cada fase, valoración del cumplimiento de las cláusulas de igualdad, y propuestas de mejora para los procesos de 2026.
Este informe anual es el instrumento central para la mejora continua de los procesos de selección con perspectiva de género, y su elaboración en febrero permite incorporar sus aprendizajes en los procesos que se convocan a lo largo de 2026.</t>
  </si>
  <si>
    <t>En febrero de 2026; en febrero</t>
  </si>
  <si>
    <t>Medida 3.1.1. Desarrollar una formación mixta anual dirigida a toda la plantilla
En marzo de 2026 se realiza la formación mixta anual dirigida a toda la plantilla de CCASA. La decisión estratégica para este año es centrar la formación en igualdad en la tecnología y entornos digitales, con enfoque práctico mediante grupos de trabajo y conexión directa con las medidas del área 9 del Plan (productos y servicios con perspectiva de género).
Las características de esta formación son: duración de 2,5 horas por sesión, formato presencial, carácter voluntario con inscripción previa, y organización en grupos de aproximadamente 20 personas para facilitar la participación activa. Se explorará la contratación de formadoras especializadas en igualdad aplicada a la tecnología, priorizando perfiles con experiencia en sesgos algorítmicos, diseño inclusivo de interfaces, y perspectiva de género en el tratamiento de datos.
Los contenidos contemplados incluyen: legislación vigente en materia de igualdad con énfasis en el artículo 17 de la Ley Orgánica 3/2007, igualdad en la tecnología y entornos digitales (sesgos de género en inteligencia artificial, discriminación algorítmica, brecha digital de género), incorporación de la perspectiva de género en la gestión y en los proyectos tecnológicos (metodología, herramientas, casos prácticos), y temas complementarios como comunicación inclusiva, prevención de la violencia digital y ciberacoso.
Se intentará alinear la formación con fechas cercanas al 8 de marzo (Día Internacional de las Mujeres) para aprovechar el momento de mayor sensibilización social sobre igualdad. Si los grupos de trabajo generan resultados o aprendizajes relevantes, se divulgarán posteriormente a toda la organización.</t>
  </si>
  <si>
    <t>En marzo de 2026; 8 de marzo</t>
  </si>
  <si>
    <t>Medida 3.2.1. Ofrecer una formación anual dirigida a mujeres centrada en el empoderamiento profesional
Entre abril y mayo de 2026 se realiza la formación anual dirigida a mujeres de CCASA. Esta formación tiene un enfoque específico para 2026: un espacio de reflexión-acción sobre el Plan de Igualdad de CCASA, su momento actual, los cambios institucionales recientes (nueva dirección, nueva estructura organizativa), y la implantación del Plan Operativo 2026.
Se trata de una formación-acción que combina contenidos sobre empoderamiento profesional, liderazgo y gestión de la autoridad en entornos masculinizados, con un análisis colectivo de la situación de las mujeres en CCASA: qué ha cambiado con el II Plan, qué obstáculos persisten, qué oportunidades abre el III Plan, cómo pueden las mujeres de la organización apropiarse del Plan y hacerlo herramienta de su propio empoderamiento.
El número de grupos y las características específicas de la formación (duración, metodología, contenidos detallados) se definirán en función de la propuesta final de la formación de nuevas masculinidades, para mantener equivalencia de dedicación horaria entre ambas formaciones diferenciadas y garantizar que ninguna acción tiene más recursos o visibilidad que la otra.</t>
  </si>
  <si>
    <t>Entre abril y mayo de 2026</t>
  </si>
  <si>
    <t>Medida 3.2.2. Realizar una formación anual dirigida a hombres sobre nuevas masculinidades
De manera simultánea a la formación de empoderamiento (abril-mayo 2026), se organiza la formación dirigida a hombres sobre nuevas masculinidades, corresponsabilidad, prevención de la violencia machista y transformación de las dinámicas masculinizadas en los equipos.
La coordinación de esta formación implica: contacto de la Asistencia Técnica de Igualdad (Helena) con Gizonduz (entidad especializada en trabajo con hombres y nuevas masculinidades del Gobierno Vasco) para explorar propuesta formativa, y organización de grupos por parte del Departamento de Recursos Humanos (Raquel). Se valorará si esta formación tiene carácter obligatorio, decisión que se tomará en función de la propuesta metodológica de Gizonduz y de las características de la intervención.
La definición de duración y formato se realizará según la propuesta técnica de Gizonduz, garantizando que la intervención tiene la profundidad necesaria para generar procesos de reflexión crítica reales y no se limita a sensibilización superficial.</t>
  </si>
  <si>
    <t>abril-mayo</t>
  </si>
  <si>
    <t>Medida 3.3.1. Incorporar cláusulas de igualdad en todos los contratos de formación externa
En febrero de 2026 se revisan los pliegos y contratos de formación externa para incorporar cláusulas de igualdad que garanticen que los contenidos, metodologías y materiales incluyen la perspectiva de género. Se investigan las posibilidades de incluir la perspectiva de género en el temario de las formaciones contratadas, adaptando los contenidos al ámbito específico de cada formación.
Además, se trabaja en el pliego de contratación de la nueva plataforma de formación, exigiendo que la plataforma permita colgar contenidos propios elaborados por CCASA y habilitar su seguimiento, y se plantea hacer obligatoria una microformación en legislación de igualdad alojada en la plataforma (medida que se activará cuando la plataforma esté operativa).</t>
  </si>
  <si>
    <t>En febrero de 2026</t>
  </si>
  <si>
    <t>Medida 3.3.2. Solicitar a las entidades proveedoras un informe previo sobre la integración de la perspectiva de género
Se elabora un modelo de solicitud y un modelo de informe que las entidades proveedoras de formación deberán cumplimentar explicando cómo integran la perspectiva de género en sus contenidos formativos. Asimismo, se elabora una lista de proveedoras a las que se requerirá este informe previo antes de la contratación.
Estos modelos y procedimientos se diseñan a lo largo del primer semestre de 2026 y se aplicarán en las contrataciones de formación que se realicen a partir de su aprobación.</t>
  </si>
  <si>
    <t>primer semestre de 2026</t>
  </si>
  <si>
    <t>Medida 3.3.3. Elaborar un informe anual sobre las formaciones externas realizadas
Se define la ventana temporal de datos y la periodicidad de elaboración del informe, siguiendo la misma lógica que en el área de contratación: en 2026 se recogerán datos de las formaciones externas realizadas en 2025 para establecer la línea base, y se irá pautando la elaboración de informes anuales que detallen contenidos de las formaciones, número de personas asistentes desagregadas por sexo, y valoración del cumplimiento de las cláusulas de igualdad.
Este informe permitirá identificar brechas de género en el acceso a la formación (¿hay formaciones en las que las mujeres están infrarrepresentadas? ¿hay formaciones en las que los hombres están infrarrepresentados?) y valorar si las entidades proveedoras cumplen efectivamente con las cláusulas de igualdad o si estas quedan en declaraciones formales sin traducción práctica.</t>
  </si>
  <si>
    <t>Medida 5.1.1. Realizar anualmente la auditoría retributiva conforme al Real Decreto 902/2020
La auditoría retributiva de 2026 analiza los datos salariales del año natural 2025 (siguiendo la misma lógica temporal que el informe de seguimiento de procesos de selección). Su elaboración se desarrolla en tres fases:
Fase 1: Volcado de datos (abril-mayo). El equipo del Departamento de Recursos Humanos (Uxue y Deiane) realiza el volcado de datos en la herramienta oficial del Ministerio de Igualdad. Este volcado incluye: salario base de cada persona de la plantilla desagregado por sexo, complementos salariales (antigüedad, puesto de trabajo, responsabilidad, disponibilidad, etc.) desagregados por sexo, percepciones extrasalariales (dietas, desplazamientos, indemnizaciones, etc.) desagregadas por sexo, distribución de mujeres y hombres por niveles, categorías profesionales y puestos de trabajo, y jornada laboral (a tiempo completo o parcial) desagregada por sexo.
Fase 2: Elaboración del informe (mayo-junio). La responsable del Departamento de Recursos Humanos (Leyre) elabora el informe de auditoría retributiva, que incluye: cálculo de la brecha salarial total (diferencia porcentual entre el salario medio de mujeres y hombres en CCASA), análisis de brechas salariales por niveles, categorías profesionales y puestos de trabajo, identificación de diferencias salariales justificadas (basadas en criterios objetivos: antigüedad, categoría profesional, responsabilidad, disponibilidad, formación específica, etc.) y diferencias no justificadas (que podrían constituir discriminación salarial), análisis de causas de las brechas detectadas, y propuestas de medidas correctoras si se identifican diferencias no justificadas.
Fase 3: Preparación de materiales de difusión (junio). La Asistencia Técnica de Igualdad (Helena) prepara materiales de difusión de la auditoría retributiva: resumen ejecutivo accesible para toda la plantilla, infografías que visualizan las brechas salariales identificadas, explicación pedagógica del sistema retributivo de CCASA (cómo se configura el salario, qué complementos existen, cómo se aplican), y clarificación de conceptos clave (brecha salarial total, brecha salarial ajustada, diferencias justificadas vs. no justificadas).</t>
  </si>
  <si>
    <t>abril-mayo; mayo-junio</t>
  </si>
  <si>
    <t>Medida 5.1.2. Presentar los resultados de la auditoría retributiva a la plantilla
En junio de 2026, una vez elaborado el informe de auditoría retributiva y preparados los materiales de difusión, se presentan los resultados a la plantilla. La presentación se realiza mediante publicación del informe y de los materiales divulgativos en la intranet corporativa, y envío de correo electrónico informativo a toda la plantilla con acceso directo al informe y a los materiales.
No se realiza sesión informativa presencial; se prioriza la difusión escrita garantizando que toda la plantilla tiene acceso permanente a la información y puede consultarla con tranquilidad, formular preguntas a la Comisión de Seguimiento (a través de la representación sindical) si tiene dudas sobre su situación salarial individual, o solicitar aclaraciones al Departamento de Recursos Humanos sobre el sistema retributivo.
Esta estrategia de difusión responde a la experiencia acumulada en años anteriores: las sesiones presenciales sobre auditoría retributiva tienen limitaciones de horario y accesibilidad, mientras que la publicación en intranet con materiales pedagógicos bien diseñados garantiza mayor alcance y permite que cada persona consulte la información en el momento que considere oportuno.</t>
  </si>
  <si>
    <t>En junio de 2026</t>
  </si>
  <si>
    <t>Medida 6.1.1. Revisar y evaluar anualmente las medidas de conciliación y flexibilidad horaria
La revisión anual de las medidas de conciliación es una acción estratégica que garantiza que el marco normativo de CCASA está actualizado a los cambios legislativos y responde a las necesidades reales de la plantilla. En 2026, esta revisión se centra en dos ejes prioritarios:
Eje 1: Ampliación de la flexibilidad horaria. CCASA cuenta con un marco de flexibilidad horaria que permite a la plantilla ajustar sus horarios de entrada y salida dentro de ciertas franjas. Sin embargo, el la representación sindical de las personas trabajadoras ha identificado que esta flexibilidad es limitada y que existen necesidades de ampliación, especialmente para personas con responsabilidades de cuidado (menores, personas mayores, personas con diversidad funcional). En 2026 se impulsa la revisión del convenio colectivo para ampliar la flexibilidad horaria, en concreto permitiendo la entrada a las 7.00 a.m  garantizando que el texto del convenio recoge explícitamente este derecho con los márgenes de flexibilidad acordados y las condiciones de su ejercicio.
Esta revisión del convenio colectivo es un proceso de negociación colectiva que implica a la Dirección de CCASA, al Comité de Empresa. Se prevé que la negociación se desarrolle a lo largo del primer semestre de 2026, con aprobación de las modificaciones en el segundo semestre si el proceso avanza favorablemente.
Eje 2: Análisis de datos desagregados por sexo del acogimiento a medidas de conciliación. El Departamento de Recursos Humanos elabora anualmente un informe con datos desagregados por sexo de quién se acoge a cada medida de conciliación: permisos por lactancia, reducciones de jornada por cuidado de menores o personas dependientes, excedencias por cuidados, flexibilidad horaria, teletrabajo, etc. Este análisis permite identificar brechas de género en el ejercicio del derecho a la conciliación (¿las mujeres se acogen más que los hombres? ¿en qué medidas específicas? ¿qué perfiles profesionales ejercen más estos derechos? ¿hay áreas o niveles en los que el acogimiento es menor?).
En 2026, este análisis se realiza con datos del año 2025 y se incorpora al informe anual de seguimiento del Plan que se presenta a la Comisión de Seguimiento en enero de 2027. Los resultados del análisis servirán de base para identificar necesidades de nuevas medidas o de ajustes en las existentes.</t>
  </si>
  <si>
    <t>primer semestre de 2026; segundo semestre; en enero de 2027</t>
  </si>
  <si>
    <t>Medida 6.1.2. Elaborar y aplicar un cuestionario de satisfacción sobre conciliación y corresponsabilidad
El cuestionario de satisfacción es una herramienta de diagnóstico participativo que permite conocer la percepción de la plantilla sobre las medidas de conciliación: ¿conocen las medidas disponibles? ¿las consideran suficientes? ¿las han ejercido? ¿qué obstáculos han encontrado? ¿qué nuevas medidas demandan? ¿perciben que ejercer el derecho a la conciliación tiene consecuencias negativas en su carrera profesional? ¿creen que en CCASA existe una cultura de corresponsabilidad o persiste una cultura presentista?
Este cuestionario, que se diseña en el segundo semestre de 2026 , una vez se hayan aplicado las medidas de conciliación de ampliación de la flexibilidad horaria recogidos en el punto anterior.</t>
  </si>
  <si>
    <t>segundo semestre de 2026</t>
  </si>
  <si>
    <t>Medida 6.1.3. Difundir a toda la plantilla las medidas de conciliación disponibles
El conocimiento sobre las medidas de conciliación no puede depender de la información informal entre compañeras y compañeros o de la capacidad individual de cada persona para buscar información en el convenio colectivo o en normativa laboral. Es responsabilidad institucional garantizar que toda la plantilla conoce sus derechos, comprende cómo ejercerlos, y puede acceder a ellos de manera ágil y sin obstáculos burocráticos.
En 2026 se elabora un folleto divulgativo sobre medidas de conciliación disponibles en CCASA. Este folleto, que se diseña y publica en el segundo semestre (tras la posible aprobación de las modificaciones del convenio colectivo sobre flexibilidad horaria), incluye: explicación pedagógica de cada medida de conciliación (reducción de jornada, excedencias, permisos, flexibilidad horaria, teletrabajo, etc.), requisitos para su ejercicio, procedimiento de solicitud, personas de contacto en el Departamento de Recursos Humanos para resolver dudas, y ejemplos prácticos de situaciones en las que se pueden ejercer estos derechos.
El folleto se difunde a toda la plantilla mediante envío por correo electrónico y publicación en la intranet corporativa, garantizando su accesibilidad permanente. Además, se incluye en el manual de acogida de nuevas incorporaciones (acción que se coordinará con la medida 7.3.5 del área de cultura organizacional).</t>
  </si>
  <si>
    <t>segundo semestre</t>
  </si>
  <si>
    <t>Medida 7.1.1. Mantener la presencia del Plan de Igualdad en los canales internos y externos de comunicación corporativa
Esta medida, aunque formulada en presente continuo ("mantener"), implica acciones concretas en 2026. La actualización anual de contenidos sobre igualdad en la intranet ya está contemplada en el área 1 (medida 1.3.2: mantener el espacio en la intranet corporativa sobre igualdad). En el área 7 se refuerza esta acción asegurando que la igualdad no solo tiene un espacio específico en la intranet sino que está presente de manera transversal en otros contenidos y canales de comunicación.
En 2026, las acciones específicas incluyen: actualización de la sección de igualdad en la web externa de CCASA para incluir el III Plan aprobado y el Plan Operativo 2026 (coordinación con la unidad web en febrero, tal como se establece en la medida 1.3.2); inclusión de referencias al Plan de Igualdad en presentaciones institucionales de CCASA cuando se presentan proyectos ante la Diputación Foral de Álava u otras instituciones (responsabilidad de Dirección); publicación de las memorias anuales de evaluación del Plan en los canales institucionales (intranet y web), garantizando transparencia sobre los avances y retos del Plan.</t>
  </si>
  <si>
    <t>Medida 7.1.2. Incorporar mensajes institucionales sobre igualdad y diversidad en las comunicaciones públicas
En 2026, CCASA incorpora de manera sistemática mensajes institucionales sobre igualdad en comunicaciones públicas, ponencias técnicas y materiales corporativos. Esto incluye: menciones explícitas al compromiso de CCASA con la igualdad de mujeres y hombres en presentaciones técnicas ante la Diputación Foral de Álava o en eventos sectoriales; inclusión de datos desagregados por sexo en los informes técnicos que CCASA elabora para la Diputación (conectando con la responsabilidad del área 9: productos y servicios con perspectiva de género); y uso de imágenes diversas y no estereotipadas en materiales de comunicación externa (folletos, presentaciones, web).
Esta medida no requiere acciones extraordinarias sino la incorporación de la perspectiva de género en las comunicaciones ordinarias de CCASA, lo que implica sensibilización del equipo directivo y coordinación con la Asistencia Técnica de Igualdad para revisar materiales antes de su difusión pública cuando sea pertinente.</t>
  </si>
  <si>
    <t>Medida 7.2.1. Difundir el manual elaborado por la Diputación Foral de Álava sobre uso de un lenguaje inclusivo
En 2026, CCASA difunde el manual de lenguaje inclusivo elaborado por la Diputación Foral de Álava entre toda la plantilla. Esta difusión se realiza en dos momentos: en enero-febrero, tras la aprobación del III Plan y el Plan Operativo 2026, se envía el manual por correo electrónico a toda la plantilla y se publica en la intranet corporativa, garantizando su accesibilidad permanente; y en marzo, en el marco de las acciones del 8 de marzo (Día Internacional de las Mujeres), se realiza una campaña específica de sensibilización sobre lenguaje inclusivo que refuerza la importancia de su uso cotidiano.
El manual se aloja en un apartado específico de la sección de igualdad de la intranet, de manera que cualquier persona de la plantilla puede consultarlo cuando tiene dudas sobre cómo redactar un documento o un correo utilizando lenguaje inclusivo.</t>
  </si>
  <si>
    <t>en enero; en marzo; 8 de marzo</t>
  </si>
  <si>
    <t>Medida 7.2.2. Realizar una acción formativa dirigida a toda la plantilla para comunicar los contenidos del manual
En 2026 se realiza una acción formativa sobre lenguaje inclusivo dirigida a toda la plantilla. Esta formación, que se desarrolla en el segundo semestre (probablemente en octubre o noviembre, una vez finalizadas las formaciones de empoderamiento y nuevas masculinidades), tiene carácter práctico: no se trata de una sesión teórica sobre por qué es importante el lenguaje inclusivo, sino de un taller que facilita herramientas para aplicarlo en la redacción de documentos, correos electrónicos y comunicaciones técnicas.
La formación tiene una duración aproximada de 2 horas, formato presencial o mixto (presencial + online para facilitar la participación de toda la plantilla), carácter voluntario con inscripción previa, y organización en grupos de aproximadamente 20 personas. Se contempla la posibilidad de contratar a una formadora especializada en lenguaje inclusivo (idealmente con experiencia en el ámbito tecnológico o en administraciones públicas), o bien que la formación sea impartida por la Asistencia Técnica de Igualdad con apoyo de materiales del manual de la Diputación.
Los contenidos de la formación incluyen: pautas básicas del lenguaje inclusivo (evitar el masculino genérico, visibilizar a las mujeres, usar términos neutros o colectivos cuando sea posible, alternar femenino y masculino), aplicación práctica en documentos tipo de CCASA (actas, informes técnicos, correos electrónicos, bases de procesos de selección, documentos de gestión), resolución de dudas y casos complejos, y ejercicios prácticos de reescritura de textos.</t>
  </si>
  <si>
    <t>segundo semestre; en octubre</t>
  </si>
  <si>
    <t>Medida 7.3.1. Contratar a una persona experta en cultura organizacional pro igualdad para acompañar el diseño e implementación de acciones de cambio cultural
Esta es la medida estrella del POA 2026 en el área de cultura organizacional. En el segundo semestre de 2026 (probablemente en octubre-noviembre, una vez que las formaciones de empoderamiento y nuevas masculinidades hayan finalizado y se disponga de sus aprendizajes), CCASA contrata a una persona experta en cultura organizacional con perspectiva de género para iniciar un proceso de acompañamiento al cambio cultural.
La contratación se realiza dependiendo del alcance y duración del acompañamiento. Se priorizan perfiles con experiencia en: transformación de culturas organizacionales masculinizadas, trabajo con equipos directivos y mandos intermedios sobre modelos de liderazgo feministas, diseño de procesos participativos de cambio cultural, análisis de resistencias y estrategias de gestión del conflicto en procesos de transformación hacia la igualdad.
El trabajo de esta persona experta en el segundo semestre de 2026 se definirá con ella y tras los resultados de las formaciones realizadas en marzo y abril-mayo. Se contactará con la persona y se trabajará con ella tras trasaladar los resultados de la formación.  incluye: análisis de la cultura organizacional de CCASA (valores dominantes, prácticas de liderazgo, dinámicas de poder, obstáculos que enfrentan las mujeres), diseño de un plan de trabajo para 2027-2028 con acciones específicas de cambio cultural (formaciones, espacios de reflexión colectiva, revisión de prácticas de gestión, protocolos de reuniones inclusivas, etc.), y posible inicio de alguna acción piloto si el calendario lo permite.
Este acompañamiento se concibe como un proceso de largo plazo: la contratación en 2026 es el inicio de un acompañamiento que se extenderá durante 2027 y 2028, garantizando continuidad y profundidad en el proceso de transformación.</t>
  </si>
  <si>
    <t>segundo semestre de 2026; en octubre; en marzo; abril-mayo</t>
  </si>
  <si>
    <t>Medida 8.1.1. Impulsar la revisión del convenio colectivo para adecuar el artículo 27 a la definición de violencia machista del Decreto Legislativo 1/2023
El convenio colectivo de CCASA contiene un artículo 27 que regula los derechos de las trabajadoras que son víctimas de violencia de género. Sin embargo, este artículo fue redactado antes de la aprobación del Decreto Legislativo 1/2023 y, por tanto, no incorpora la nueva definición ampliada de violencia machista ni los nuevos medios de acreditación que establece la legislación vigente.
En 2026, CCASA impulsa la revisión del convenio colectivo para adecuar el artículo 27 al nuevo marco legal. Esta revisión implica:
Actualización de la definición de violencia machista: El artículo debe abandonar el término restrictivo "violencia de género" (que en ocasiones se interpreta como violencia exclusivamente ejercida por parejas o exparejas) y adoptar la definición amplia de "violencia machista contra las mujeres" del Decreto Legislativo 1/2023, que incluye: violencia física, psicológica, sexual y económica; violencia en el ámbito de la pareja o expareja; violencia sexual fuera del ámbito de la pareja; trata de mujeres y niñas con fines de explotación sexual; mutilación genital femenina; matrimonios forzados; violencia digital y ciberacoso; acoso sexual y acoso por razón de sexo.
Ampliación de los medios de acreditación: El Decreto Legislativo 1/2023 reconoce como medios válidos de acreditación no solo las sentencias judiciales o las órdenes de protección, sino también: informes del servicio de atención integral de Berdinsarea; informes de los servicios sociales municipales; informes de servicios especializados de atención a mujeres víctimas de violencia machista; informes de profesionales con competencia en la materia (sanitarios, psicólogos, trabajadores sociales). El convenio debe incorporar explícitamente todos estos medios de acreditación, facilitando que las trabajadoras puedan ejercer sus derechos sin necesidad de judicialización.
Uso de lenguaje no sexista: El artículo debe ser revisado para eliminar cualquier resto de lenguaje sexista o victimizante, utilizando términos como "mujeres supervivientes de violencia machista" o "trabajadoras que sufren violencia machista", evitando el término "víctima" cuando sea posible (aunque este sea el término legal en algunos contextos), y garantizando que la redacción visibiliza a las mujeres como sujetas de derechos y no como objetos de protección pasiva.
Este proceso de revisión del convenio colectivo es una negociación colectiva que implica a la Dirección de CCASA, al Comité de Empresa, y a la Asistencia Técnica de Igualdad como apoyo técnico. El calendario de la negociación no está cerrado ("por definir" en el documento de notas de la reunión del grupo motor), pero se impulsa en 2026 con el objetivo de que las modificaciones sean aprobadas durante este año o, como máximo, en el primer semestre de 2027.</t>
  </si>
  <si>
    <t>primer semestre de 2027</t>
  </si>
  <si>
    <t>Medida 8.1.2. Mantener la inclusión de cláusulas de igualdad en la contratación externa, exigiendo protocolos propios frente al acoso
CCASA ya incorpora cláusulas de igualdad en sus contratos con entidades proveedoras, exigiendo que dispongan de protocolos propios frente al acoso sexual y por razón de sexo. En 2026, esta práctica se mantiene y se refuerza mediante el seguimiento de su cumplimiento.
Las acciones específicas incluyen: revisión de los pliegos de contratación en febrero para garantizar que las cláusulas sobre acoso sexual y por razón de sexo están redactadas de manera clara y exigible (no como mera declaración de intenciones sino como requisito contractual); inclusión en los contratos de la obligación de que las entidades proveedoras acrediten que disponen de protocolo de actuación frente al acoso registrado y difundido entre su plantilla; y realización de verificaciones periódicas (al menos una verificación anual) del cumplimiento de esta exigencia, solicitando a las entidades proveedoras que remitan copia de sus protocolos o que acrediten su existencia mediante certificación.
Este seguimiento se documenta en un informe anual que se incorpora al informe general de seguimiento del Plan, registrando: número de contratos en los que se incluyó la cláusula, número de verificaciones realizadas, grado de cumplimiento detectado, incidencias o incumplimientos identificados, y medidas adoptadas en caso de incumplimiento.</t>
  </si>
  <si>
    <t>Medida 8.2.1. Difundir anualmente, con motivo del 25N, el Protocolo de actuación frente al acoso sexual y por razón de sexo
Cada 25 de noviembre, Día Internacional de la Eliminación de la Violencia contra las Mujeres, CCASA realiza una comunicación institucional a toda la plantilla difundiendo el Protocolo de actuación frente al acoso sexual y por razón de sexo. Esta comunicación, que se envía por correo electrónico y se publica en la intranet corporativa, incluye:
Recordatorio de la existencia del Protocolo y de su carácter vinculante para toda la plantilla; explicación de las situaciones que constituyen acoso sexual (comportamientos de naturaleza sexual no deseados que crean un entorno intimidatorio, hostil o humillante) y acoso por razón de sexo (comportamientos relacionados con el sexo de una persona que tienen el mismo propósito o efecto que el acoso sexual, incluyendo comentarios sexistas, bromas machistas, menosprecio por razón de sexo, etc.); información sobre los canales de denuncia disponibles: la Comisión de Igualdad del Plan es el órgano instructor del Protocolo, garantizando independencia y especialización en la tramitación de denuncias; garantías de confidencialidad en todo el proceso de denuncia e investigación; y consecuencias disciplinarias para las personas que cometan acoso, conforme al régimen sancionador del convenio colectivo y de la legislación laboral.
Esta difusión anual cumple una doble función: pedagógica (garantiza que toda la plantilla, incluidas las nuevas incorporaciones, conoce el Protocolo) y preventiva (visibiliza institucionalmente que CCASA no tolera ninguna forma de acoso y que existen mecanismos efectivos de denuncia y protección).</t>
  </si>
  <si>
    <t>25N; 25 de noviembre</t>
  </si>
  <si>
    <t>Medida 8.2.2. Realizar una formación anual con motivo del 25N sobre violencia machista en el ámbito laboral y tecnológico
En noviembre de 2026, coincidiendo con el 25N, CCASA organiza una formación sobre violencia machista en el ámbito laboral y tecnológico. Esta formación tiene un enfoque específico que conecta con la misión institucional de CCASA: no se limita a abordar la violencia machista de manera genérica sino que profundiza en sus manifestaciones en entornos tecnológicos y digitales.
Los contenidos contemplados incluyen: formas de violencia machista en el ámbito laboral (acoso sexual, acoso por razón de sexo, discriminación, micromachismos, techo de cristal como forma de violencia estructural); violencia digital y ciberacoso (difusión no consentida de imágenes íntimas, acoso en redes sociales, suplantación de identidad, control y vigilancia mediante tecnologías, violencia en relaciones de pareja ejercida a través de medios digitales); responsabilidad institucional en la prevención y atención de la violencia machista (qué puede hacer CCASA como organización para prevenir, detectar y abordar situaciones de violencia, cómo actuar si se detecta una situación de violencia, cómo apoyar a compañeras que están sufriendo violencia); y recursos especializados de atención a mujeres supervivientes de violencia machista (Berdinsarea, servicios municipales de atención, recursos de acogida, líneas telefónicas de atención).
La formación tiene una duración aproximada de 2 horas, formato presencial o mixto, carácter voluntario con inscripción previa, y organización en grupos si la participación es alta. Se contempla la posibilidad de contratar a una formadora especializada en violencia machista y nuevas tecnologías, priorizando perfiles con experiencia en el ámbito laboral y en organizaciones tecnológicas.</t>
  </si>
  <si>
    <t>25N; En noviembre de 2026</t>
  </si>
  <si>
    <t>Medida 8.2.3. Incluir mensajes institucionales de tolerancia cero ante la violencia machista en las comunicaciones públicas y campañas internas
Esta medida se implementa de manera transversal a lo largo de 2026. Los mensajes institucionales de tolerancia cero ante la violencia machista se incorporan en: comunicaciones internas con motivo del 8 de marzo (Día Internacional de las Mujeres), donde se puede incluir un apartado específico sobre violencia machista como manifestación extrema de la desigualdad; comunicaciones internas con motivo del 25 de noviembre (Día Internacional de la Eliminación de la Violencia contra las Mujeres), que además de la difusión del Protocolo y la formación incluyen mensajes institucionales firmados por la Dirección de CCASA expresando el compromiso organizacional con la erradicación de la violencia; y comunicaciones externas de CCASA (presentaciones institucionales, materiales corporativos, web) que pueden incluir menciones al compromiso de CCASA con entornos laborales libres de violencia machista y acoso.
Estos mensajes no son meramente simbólicos sino que expresan un posicionamiento político e institucional: CCASA se reconoce como parte de un entramado social que debe contribuir activamente a la erradicación de la violencia machista, no solo protegiendo a las mujeres de su plantilla que puedan estar sufriendo violencia sino también educando, sensibilizando, y generando cultura de rechazo colectivo ante cualquier forma de violencia contra las mujeres.</t>
  </si>
  <si>
    <t>8 de marzo; 25 de noviembre</t>
  </si>
  <si>
    <t>Medida 9.1.1. Diagnósticar el grado de desagregación y análisis de datos por sexo en la gestión de la información, bases de datos,  productos y servicios
El proyecto de diagnóstico del cumplimiento del artículo 17 es un proyecto institucional liderado por la Dirección de Igualdad de la Diputación Foral de Álava, que tiene como objetivo identificar en qué grado las diferentes áreas y departamentos de la Diputación están cumpliendo con la obligación legal de desagregar por sexo todos sus estudios y estadísticas. CCASA participa en este proyecto desde una doble posición: como organización que debe diagnosticar su propio cumplimiento del artículo 17 en sus sistemas de información internos, y como proveedor tecnológico que debe identificar qué aplicaciones y bases de datos gestiona para la Diputación y cuáles de ellas recogen (o deberían recoger) la variable sexo.
La participación de CCASA en este proyecto se desarrolla en tres fases:
Fase 1: Identificar proyectos, programas, aplicaciones o productos de CCASA que gestionan información de personas. Esta fase implica realizar un inventario exhaustivo de todos los sistemas de información que CCASA gestiona, tanto para uso interno como para la Diputación. Este inventario debe identificar: nombre de la aplicación, programa o base de datos, área de la Diputación a la que da servicio (si es un sistema externo), tipo de información que gestiona, si gestiona información de personas (ciudadanas, usuarias de servicios, trabajadoras, beneficiarias de prestaciones, etc.), si actualmente recoge la variable sexo, y en qué formato se recoge (si es que se recoge).
Este inventario es un trabajo técnico complejo que requiere coordinación entre la Dirección de CCASA, la Unidad de Estrategia de Datos, y los equipos técnicos responsables de cada aplicación. Se estima que esta fase se desarrolla en el primer trimestre de 2026, con el fin de poder trabajar los resultados como parte de la formación conjunta a que se propone desarrollar en marzo. El primer paso, es acordar, en la reunión de responsables de área, cómo abordar el trabajo.
Fase 2: Priorizar por impacto y riesgo. Una vez identificadas todas las aplicaciones, programas  y bases de datos, es necesario priorizarlas en función de dos criterios: impacto (¿cuántas personas usuarias afecta? ¿qué relevancia tiene para la política pública que gestiona? ¿es una aplicación estratégica para la Diputación?) y riesgo de incumplimiento normativo. Esta priorización permite identificar qué aplicaciones requieren adaptación urgente (alto impacto + alto riesgo de incumplimiento), cuáles pueden abordarse en un segundo momento (impacto medio o bajo riesgo), y cuáles no requieren adaptación porque no gestionan información de personas o porque ya recogen la variable sexo de manera adecuada. Esta fase se desarrolla en el segundo trimestre de 2026, en coordinación con la Dirección de Igualdad de la Diputación, que aporta criterios sobre qué aplicaciones son más estratégicas desde el punto de vista de las políticas de igualdad.
Fase 3: Elaborar un cronograma factible en función de los recursos del Centro de Cálculo. Una vez priorizadas las aplicaciones que requieren adaptación, es necesario establecer un cronograma realista para estas adaptaciones. Este cronograma debe tener en cuenta: recursos técnicos disponibles en CCASA (personal técnico, carga de trabajo, capacidad de desarrollo), complejidad técnica de cada adaptación (algunas aplicaciones requerirán modificaciones simples en formularios y bases de datos; otras requerirán rediseños más profundos de la arquitectura de datos), dependencias con otras entidades (si las aplicaciones son desarrolladas por empresas externas o si requieren coordinación con las áreas de la Diputación que las utilizan), y presupuesto disponible (algunas adaptaciones podrán realizarse con recursos internos; otras requerirán contrataciones externas).
El cronograma resultante se presenta a la Dirección de la Diputación y a la Dirección de Igualdad en el tercer trimestre de 2026, estableciendo compromisos concretos para el horizonte 2026-2028 del III Plan.</t>
  </si>
  <si>
    <t>primer trimestre de 2026; en marzo; segundo trimestre de 2026; tercer trimestre de 2026</t>
  </si>
  <si>
    <t>Medida 9.1.2. Incorporar la perspectiva de género en el diseño del proyecto de gobernanza del dato
El proyecto de gobernanza del dato es un proyecto estratégico de la Diputación Foral de Álava que tiene como objetivo establecer un modelo de gestión integral de los datos institucionales, garantizando su calidad, interoperabilidad, seguridad, y explotabilidad. CCASA, como responsable de las infraestructuras tecnológicas de la Diputación, lidera técnicamente este proyecto en coordinación con la Unidad de Estrategia del Dato.
La incorporación de la perspectiva de género en el diseño del proyecto de gobernanza del dato es una decisión estratégica que garantiza que las nuevas infraestructuras de datos de la Diputación cumplen con el artículo 17 desde su concepción. Esto implica dos acciones concretas en 2026:
El proyecto de gobernanza del dato se despliega en 2026 mediante proyectos piloto en áreas específicas de la Diputación (IFBS y Turismo). La Asistencia Técnica de Igualdad participa en estos proyectos piloto como asesora, revisando que los desarrollos técnicos cumplen con el artículo 17 y proponiendo ajustes si se detectan incumplimientos.
La coordinación entre el Servicio de Igualdad de la Diputación, la Unidad de Estrategia del Dato, y la Asistencia Técnica de Igualdad del Plan de CCASA se formaliza mediante reuniones periódicas al menos trimestrales en la segunda mitad de 2026 en las que se revisan avances, se identifican obstáculos, y se toman decisiones técnicas sobre cómo integrar la perspectiva de género en los desarrollos.</t>
  </si>
  <si>
    <t xml:space="preserve">2.2.1. Promoción y acceso a puestos de responsabilidad
Aplicar, en los procesos de provisión y promoción interna y externa de puestos de responsabilidad, medidas temporales de acción positiva dirigidas a corregir situaciones de infrarrepresentación del sexo menos representado, cuando su presencia sea inferior al 40 % en el nivel o perfil correspondiente.
Estas medidas se aplicarán únicamente una vez valoradas las candidaturas conforme a los criterios generales de mérito y capacidad, y consistirán en la asignación de una puntuación adicional, previamente definida y proporcional, a las personas aspirantes del sexo menos representado que se sitúen dentro del margen de puntuación establecido respecto de la persona que obtenga la última plaza, de acuerdo con lo previsto en las bases de cada convocatoria.
</t>
  </si>
  <si>
    <t>2.2.2. Reducción de la segregación horizontal
Incorporar, en los procesos de selección y provisión de vacantes en áreas o perfiles profesionales con infrarrepresentación de uno de los sexos por debajo del 40 %, medidas temporales de acción positiva, en los términos previstos en la normativa vigente.
Dichas medidas se aplicarán una vez realizada la evaluación ordinaria de las candidaturas, y se concretarán en la aplicación de criterios correctores proporcionales, tales como la asignación de puntuación adicional a las personas aspirantes del sexo menos representado que cumplan los requisitos y se encuentren dentro del margen de puntuación establecido, con el objetivo de avanzar hacia una composición equilibrada de las áreas.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</si>
</sst>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Tw Cen MT"/>
      <family val="2"/>
      <scheme val="minor"/>
    </font>
    <font>
      <sz val="11"/>
      <color theme="1"/>
      <name val="Tw Cen MT"/>
      <family val="2"/>
      <scheme val="minor"/>
    </font>
    <font>
      <b/>
      <sz val="11"/>
      <color theme="1"/>
      <name val="Tw Cen MT"/>
      <family val="2"/>
      <scheme val="minor"/>
    </font>
    <font>
      <sz val="11"/>
      <color theme="1"/>
      <name val="Tw Cen MT"/>
      <family val="2"/>
    </font>
    <font>
      <sz val="8"/>
      <name val="Tw Cen MT"/>
      <family val="2"/>
      <scheme val="minor"/>
    </font>
    <font>
      <i/>
      <sz val="11"/>
      <color theme="1"/>
      <name val="Tw Cen MT"/>
      <family val="2"/>
      <scheme val="minor"/>
    </font>
    <font>
      <b/>
      <sz val="14"/>
      <color theme="5"/>
      <name val="Tw Cen MT"/>
      <family val="2"/>
      <scheme val="minor"/>
    </font>
    <font>
      <sz val="12"/>
      <color theme="5"/>
      <name val="Tw Cen MT"/>
      <family val="2"/>
      <scheme val="minor"/>
    </font>
    <font>
      <b/>
      <sz val="11"/>
      <color theme="0"/>
      <name val="Tw Cen MT"/>
      <family val="2"/>
      <scheme val="minor"/>
    </font>
    <font>
      <sz val="11"/>
      <color rgb="FFFF0000"/>
      <name val="Tw Cen MT"/>
      <family val="2"/>
      <scheme val="minor"/>
    </font>
    <font>
      <b/>
      <sz val="11"/>
      <color theme="0"/>
      <name val="Tw Cen MT"/>
      <family val="2"/>
    </font>
    <font>
      <sz val="11"/>
      <name val="Tw Cen MT"/>
      <family val="2"/>
      <scheme val="minor"/>
    </font>
    <font>
      <sz val="10"/>
      <color theme="1"/>
      <name val="Tw Cen MT"/>
      <family val="2"/>
      <scheme val="minor"/>
    </font>
    <font>
      <b/>
      <sz val="10"/>
      <color rgb="FF444746"/>
      <name val="Google Sans Text"/>
      <family val="2"/>
    </font>
    <font>
      <sz val="10"/>
      <color rgb="FF444746"/>
      <name val="Google Sans Text"/>
      <family val="2"/>
    </font>
    <font>
      <b/>
      <sz val="11"/>
      <color rgb="FF1F1F1F"/>
      <name val="Arial"/>
      <family val="2"/>
    </font>
    <font>
      <sz val="11"/>
      <color rgb="FF1F1F1F"/>
      <name val="Arial"/>
      <family val="2"/>
    </font>
  </fonts>
  <fills count="6">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19">
    <border>
      <left/>
      <right/>
      <top/>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op>
      <bottom/>
      <diagonal/>
    </border>
    <border>
      <left/>
      <right style="thin">
        <color theme="4"/>
      </right>
      <top style="thin">
        <color theme="4"/>
      </top>
      <bottom/>
      <diagonal/>
    </border>
    <border>
      <left/>
      <right/>
      <top style="thin">
        <color theme="4"/>
      </top>
      <bottom style="thin">
        <color theme="4"/>
      </bottom>
      <diagonal/>
    </border>
    <border>
      <left/>
      <right style="thin">
        <color theme="4"/>
      </right>
      <top style="thin">
        <color theme="4"/>
      </top>
      <bottom style="thin">
        <color theme="4"/>
      </bottom>
      <diagonal/>
    </border>
    <border>
      <left style="medium">
        <color rgb="FFA0B0C0"/>
      </left>
      <right style="medium">
        <color rgb="FFA0B0C0"/>
      </right>
      <top style="medium">
        <color rgb="FFA0B0C0"/>
      </top>
      <bottom style="medium">
        <color rgb="FFA0B0C0"/>
      </bottom>
      <diagonal/>
    </border>
    <border>
      <left style="medium">
        <color rgb="FFA0B0C0"/>
      </left>
      <right style="medium">
        <color rgb="FFA0B0C0"/>
      </right>
      <top/>
      <bottom style="medium">
        <color rgb="FFA0B0C0"/>
      </bottom>
      <diagonal/>
    </border>
    <border>
      <left style="thin">
        <color theme="4"/>
      </left>
      <right/>
      <top style="thin">
        <color theme="4"/>
      </top>
      <bottom/>
      <diagonal/>
    </border>
    <border>
      <left style="thin">
        <color theme="4"/>
      </left>
      <right/>
      <top style="thin">
        <color theme="4"/>
      </top>
      <bottom style="thin">
        <color theme="4"/>
      </bottom>
      <diagonal/>
    </border>
  </borders>
  <cellStyleXfs count="2">
    <xf numFmtId="0" fontId="0" fillId="0" borderId="0"/>
    <xf numFmtId="0" fontId="1" fillId="0" borderId="0"/>
  </cellStyleXfs>
  <cellXfs count="62">
    <xf numFmtId="0" fontId="0" fillId="0" borderId="0" xfId="0"/>
    <xf numFmtId="0" fontId="0" fillId="0" borderId="0" xfId="0" pivotButton="1"/>
    <xf numFmtId="0" fontId="0" fillId="0" borderId="0" xfId="0" applyAlignment="1">
      <alignment horizontal="left"/>
    </xf>
    <xf numFmtId="0" fontId="3" fillId="0" borderId="0" xfId="1" applyFont="1"/>
    <xf numFmtId="0" fontId="1" fillId="0" borderId="0" xfId="1"/>
    <xf numFmtId="0" fontId="5" fillId="0" borderId="0" xfId="0" applyFont="1"/>
    <xf numFmtId="0" fontId="0" fillId="2" borderId="0" xfId="0" applyFill="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3" borderId="1" xfId="0" applyFont="1" applyFill="1" applyBorder="1"/>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2" xfId="0" pivotButton="1" applyBorder="1" applyAlignment="1">
      <alignment horizontal="left" vertical="top" wrapText="1"/>
    </xf>
    <xf numFmtId="0" fontId="0" fillId="0" borderId="3" xfId="0" pivotButton="1" applyBorder="1" applyAlignment="1">
      <alignment horizontal="left" vertical="top" wrapText="1"/>
    </xf>
    <xf numFmtId="0" fontId="0" fillId="0" borderId="4" xfId="0" pivotButton="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xf>
    <xf numFmtId="0" fontId="1" fillId="0" borderId="0" xfId="1" applyAlignment="1">
      <alignment horizontal="left" vertical="top" wrapText="1"/>
    </xf>
    <xf numFmtId="0" fontId="1" fillId="0" borderId="0" xfId="1" applyAlignment="1">
      <alignment horizontal="left" vertical="top"/>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8" fillId="4" borderId="11" xfId="0" applyFont="1" applyFill="1" applyBorder="1" applyAlignment="1">
      <alignment horizontal="center" vertical="center" wrapText="1"/>
    </xf>
    <xf numFmtId="0" fontId="10" fillId="4" borderId="12" xfId="1" applyFont="1" applyFill="1" applyBorder="1"/>
    <xf numFmtId="0" fontId="2" fillId="0" borderId="11" xfId="0" applyFont="1" applyBorder="1" applyAlignment="1">
      <alignment vertical="center" wrapText="1"/>
    </xf>
    <xf numFmtId="0" fontId="0" fillId="0" borderId="11" xfId="0" applyBorder="1" applyAlignment="1">
      <alignment vertical="center" wrapText="1"/>
    </xf>
    <xf numFmtId="0" fontId="3" fillId="0" borderId="12" xfId="1" applyFont="1" applyBorder="1"/>
    <xf numFmtId="0" fontId="2" fillId="0" borderId="13" xfId="0" applyFont="1" applyBorder="1" applyAlignment="1">
      <alignment vertical="center" wrapText="1"/>
    </xf>
    <xf numFmtId="0" fontId="0" fillId="0" borderId="13" xfId="0" applyBorder="1" applyAlignment="1">
      <alignment vertical="center" wrapText="1"/>
    </xf>
    <xf numFmtId="0" fontId="3" fillId="0" borderId="14" xfId="1" applyFont="1" applyBorder="1"/>
    <xf numFmtId="0" fontId="9" fillId="0" borderId="0" xfId="0" applyFont="1"/>
    <xf numFmtId="0" fontId="9" fillId="0" borderId="0" xfId="0" applyFont="1" applyAlignment="1">
      <alignment vertical="center" wrapText="1"/>
    </xf>
    <xf numFmtId="0" fontId="11" fillId="0" borderId="0" xfId="0" applyFont="1" applyAlignment="1">
      <alignment vertical="center" wrapText="1"/>
    </xf>
    <xf numFmtId="0" fontId="2" fillId="5" borderId="11" xfId="0" applyFont="1" applyFill="1" applyBorder="1" applyAlignment="1">
      <alignment vertical="center" wrapText="1"/>
    </xf>
    <xf numFmtId="0" fontId="12" fillId="0" borderId="15" xfId="0" applyFont="1" applyBorder="1" applyAlignment="1">
      <alignment vertical="center" wrapText="1"/>
    </xf>
    <xf numFmtId="0" fontId="12" fillId="0" borderId="16" xfId="0" applyFont="1" applyBorder="1" applyAlignment="1">
      <alignment vertical="center" wrapText="1"/>
    </xf>
    <xf numFmtId="0" fontId="13" fillId="4" borderId="17" xfId="0" applyFont="1" applyFill="1" applyBorder="1" applyAlignment="1">
      <alignment vertical="center" wrapText="1" readingOrder="1"/>
    </xf>
    <xf numFmtId="0" fontId="13" fillId="4" borderId="11" xfId="0" applyFont="1" applyFill="1" applyBorder="1" applyAlignment="1">
      <alignment vertical="center" wrapText="1" readingOrder="1"/>
    </xf>
    <xf numFmtId="0" fontId="8" fillId="4" borderId="11" xfId="0" applyFont="1" applyFill="1" applyBorder="1" applyAlignment="1">
      <alignment vertical="top" wrapText="1"/>
    </xf>
    <xf numFmtId="0" fontId="8" fillId="4" borderId="12" xfId="0" applyFont="1" applyFill="1" applyBorder="1" applyAlignment="1">
      <alignment horizontal="center" vertical="center" wrapText="1"/>
    </xf>
    <xf numFmtId="0" fontId="14" fillId="0" borderId="0" xfId="0" applyFont="1" applyAlignment="1">
      <alignment vertical="center" wrapText="1" readingOrder="1"/>
    </xf>
    <xf numFmtId="0" fontId="15" fillId="0" borderId="0" xfId="0" applyFont="1" applyAlignment="1">
      <alignment vertical="center" wrapText="1" readingOrder="1"/>
    </xf>
    <xf numFmtId="0" fontId="16" fillId="0" borderId="0" xfId="0" applyFont="1" applyAlignment="1">
      <alignment vertical="center" wrapText="1" readingOrder="1"/>
    </xf>
    <xf numFmtId="0" fontId="2" fillId="0" borderId="17" xfId="0" applyFont="1" applyBorder="1" applyAlignment="1">
      <alignment vertical="center" wrapText="1"/>
    </xf>
    <xf numFmtId="0" fontId="0" fillId="0" borderId="11" xfId="0" applyBorder="1" applyAlignment="1">
      <alignment vertical="top" wrapText="1"/>
    </xf>
    <xf numFmtId="0" fontId="0" fillId="0" borderId="12" xfId="0" applyBorder="1" applyAlignment="1">
      <alignment vertical="center" wrapText="1"/>
    </xf>
    <xf numFmtId="0" fontId="2" fillId="0" borderId="18" xfId="0" applyFont="1" applyBorder="1" applyAlignment="1">
      <alignment vertical="center" wrapText="1"/>
    </xf>
    <xf numFmtId="0" fontId="0" fillId="0" borderId="13" xfId="0" applyBorder="1" applyAlignment="1">
      <alignment vertical="top" wrapText="1"/>
    </xf>
    <xf numFmtId="0" fontId="0" fillId="0" borderId="14" xfId="0" applyBorder="1" applyAlignment="1">
      <alignment vertical="center" wrapText="1"/>
    </xf>
  </cellXfs>
  <cellStyles count="2">
    <cellStyle name="Normal" xfId="0" builtinId="0"/>
    <cellStyle name="Normal 2" xfId="1" xr:uid="{83539E92-592E-48B2-BBA1-F42875AFE432}"/>
  </cellStyles>
  <dxfs count="321">
    <dxf>
      <font>
        <sz val="14"/>
      </font>
    </dxf>
    <dxf>
      <font>
        <sz val="14"/>
      </font>
    </dxf>
    <dxf>
      <font>
        <sz val="14"/>
      </font>
    </dxf>
    <dxf>
      <font>
        <sz val="14"/>
      </font>
    </dxf>
    <dxf>
      <font>
        <sz val="14"/>
      </font>
    </dxf>
    <dxf>
      <font>
        <sz val="14"/>
      </font>
    </dxf>
    <dxf>
      <font>
        <sz val="14"/>
      </font>
    </dxf>
    <dxf>
      <font>
        <sz val="14"/>
      </font>
    </dxf>
    <dxf>
      <font>
        <sz val="14"/>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indent="0"/>
    </dxf>
    <dxf>
      <alignment wrapText="1" indent="0"/>
    </dxf>
    <dxf>
      <alignment wrapText="1" indent="0"/>
    </dxf>
    <dxf>
      <font>
        <b val="0"/>
        <i val="0"/>
        <strike val="0"/>
        <condense val="0"/>
        <extend val="0"/>
        <outline val="0"/>
        <shadow val="0"/>
        <u val="none"/>
        <vertAlign val="baseline"/>
        <sz val="11"/>
        <color theme="1"/>
        <name val="Tw Cen MT"/>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MEDIDAS</a:t>
            </a:r>
            <a:r>
              <a:rPr lang="en-US" baseline="0"/>
              <a:t> POR ÁREA</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9"/>
              <c:pt idx="0">
                <c:v>1. GESTIÓN Y COMUNICACIÓN DEL PLAN DE IGUALDAD</c:v>
              </c:pt>
              <c:pt idx="1">
                <c:v>2. ACCESO Y PROMOCIÓN EN EL EMPLEO PÚBLICO</c:v>
              </c:pt>
              <c:pt idx="2">
                <c:v>3. FORMACIÓN Y CAPACITACIÓN CON PERSPECTIVA DE GÉNERO</c:v>
              </c:pt>
              <c:pt idx="3">
                <c:v>4. SEGURIDAD Y SALUD LABORAL</c:v>
              </c:pt>
              <c:pt idx="4">
                <c:v>5. VALORACIÓN DE PUESTOS DE TRABAJO Y AUDITORÍA RETRIBUTIVA</c:v>
              </c:pt>
              <c:pt idx="5">
                <c:v>6. CONCILIACIÓN CORRESPONSABLE</c:v>
              </c:pt>
              <c:pt idx="6">
                <c:v>7. CULTURA ORGANIZACIONAL</c:v>
              </c:pt>
              <c:pt idx="7">
                <c:v>8. VIOLENCIA MACHISTA, ACOSO SEXUAL Y ACOSO POR RAZÓN DE SEXO</c:v>
              </c:pt>
              <c:pt idx="8">
                <c:v>9. PRODUCTOS Y SERVICIOS CON PERSPECTIVA DE GÉNERO</c:v>
              </c:pt>
            </c:strLit>
          </c:cat>
          <c:val>
            <c:numLit>
              <c:formatCode>General</c:formatCode>
              <c:ptCount val="9"/>
              <c:pt idx="0">
                <c:v>8</c:v>
              </c:pt>
              <c:pt idx="1">
                <c:v>6</c:v>
              </c:pt>
              <c:pt idx="2">
                <c:v>6</c:v>
              </c:pt>
              <c:pt idx="3">
                <c:v>5</c:v>
              </c:pt>
              <c:pt idx="4">
                <c:v>2</c:v>
              </c:pt>
              <c:pt idx="5">
                <c:v>4</c:v>
              </c:pt>
              <c:pt idx="6">
                <c:v>10</c:v>
              </c:pt>
              <c:pt idx="7">
                <c:v>5</c:v>
              </c:pt>
              <c:pt idx="8">
                <c:v>4</c:v>
              </c:pt>
            </c:numLit>
          </c:val>
          <c:extLst>
            <c:ext xmlns:c16="http://schemas.microsoft.com/office/drawing/2014/chart" uri="{C3380CC4-5D6E-409C-BE32-E72D297353CC}">
              <c16:uniqueId val="{00000000-F9AC-4481-92D6-1F5C79D98BA2}"/>
            </c:ext>
          </c:extLst>
        </c:ser>
        <c:dLbls>
          <c:showLegendKey val="0"/>
          <c:showVal val="0"/>
          <c:showCatName val="0"/>
          <c:showSerName val="0"/>
          <c:showPercent val="0"/>
          <c:showBubbleSize val="0"/>
        </c:dLbls>
        <c:gapWidth val="115"/>
        <c:overlap val="-20"/>
        <c:axId val="1155473919"/>
        <c:axId val="1155475839"/>
      </c:barChart>
      <c:catAx>
        <c:axId val="1155473919"/>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155475839"/>
        <c:crosses val="autoZero"/>
        <c:auto val="1"/>
        <c:lblAlgn val="ctr"/>
        <c:lblOffset val="100"/>
        <c:noMultiLvlLbl val="0"/>
      </c:catAx>
      <c:valAx>
        <c:axId val="115547583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15547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c:spPr>
  <c:txPr>
    <a:bodyPr/>
    <a:lstStyle/>
    <a:p>
      <a:pPr>
        <a:defRPr/>
      </a:pPr>
      <a:endParaRPr lang="es-E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PLAN DE IGUALDAD CCASSA.xlsx]HORAS!TablaDinámica1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s-ES">
                <a:solidFill>
                  <a:schemeClr val="bg1"/>
                </a:solidFill>
              </a:rPr>
              <a:t>ESTIMACIÓN DE HORAS DE DEDICACIÓN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3853467266951E-3"/>
          <c:y val="2.0020751864203216E-2"/>
          <c:w val="0.98447722930654658"/>
          <c:h val="0.91567902835791992"/>
        </c:manualLayout>
      </c:layout>
      <c:barChart>
        <c:barDir val="col"/>
        <c:grouping val="stacked"/>
        <c:varyColors val="0"/>
        <c:ser>
          <c:idx val="0"/>
          <c:order val="0"/>
          <c:tx>
            <c:strRef>
              <c:f>HORAS!$B$3</c:f>
              <c:strCache>
                <c:ptCount val="1"/>
                <c:pt idx="0">
                  <c:v>Suma de HORAS DE DEDICACIÓN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HORAS!$A$4:$A$13</c:f>
              <c:strCache>
                <c:ptCount val="9"/>
                <c:pt idx="0">
                  <c:v>1. GESTIÓN Y COMUNICACIÓN DEL PLAN DE IGUALDAD</c:v>
                </c:pt>
                <c:pt idx="1">
                  <c:v>2. ACCESO Y PROMOCIÓN EN EL EMPLEO PÚBLICO</c:v>
                </c:pt>
                <c:pt idx="2">
                  <c:v>3. FORMACIÓN Y CAPACITACIÓN CON PERSPECTIVA DE GÉNERO</c:v>
                </c:pt>
                <c:pt idx="3">
                  <c:v>4. SEGURIDAD Y SALUD LABORAL</c:v>
                </c:pt>
                <c:pt idx="4">
                  <c:v>5. VALORACIÓN DE PUESTOS DE TRABAJO Y AUDITORÍA RETRIBUTIVA</c:v>
                </c:pt>
                <c:pt idx="5">
                  <c:v>6. CONCILIACIÓN CORRESPONSABLE</c:v>
                </c:pt>
                <c:pt idx="6">
                  <c:v>7. CULTURA ORGANIZACIONAL</c:v>
                </c:pt>
                <c:pt idx="7">
                  <c:v>8. VIOLENCIA MACHISTA, ACOSO SEXUAL Y ACOSO POR RAZÓN DE SEXO</c:v>
                </c:pt>
                <c:pt idx="8">
                  <c:v>9. PRODUCTOS Y SERVICIOS CON PERSPECTIVA DE GÉNERO</c:v>
                </c:pt>
              </c:strCache>
            </c:strRef>
          </c:cat>
          <c:val>
            <c:numRef>
              <c:f>HORAS!$B$4:$B$13</c:f>
              <c:numCache>
                <c:formatCode>General</c:formatCode>
                <c:ptCount val="9"/>
                <c:pt idx="0">
                  <c:v>198</c:v>
                </c:pt>
                <c:pt idx="1">
                  <c:v>82</c:v>
                </c:pt>
                <c:pt idx="2">
                  <c:v>82</c:v>
                </c:pt>
                <c:pt idx="3">
                  <c:v>42</c:v>
                </c:pt>
                <c:pt idx="4">
                  <c:v>4</c:v>
                </c:pt>
                <c:pt idx="5">
                  <c:v>25</c:v>
                </c:pt>
                <c:pt idx="6">
                  <c:v>98</c:v>
                </c:pt>
                <c:pt idx="7">
                  <c:v>26</c:v>
                </c:pt>
                <c:pt idx="8">
                  <c:v>100</c:v>
                </c:pt>
              </c:numCache>
            </c:numRef>
          </c:val>
          <c:extLst>
            <c:ext xmlns:c16="http://schemas.microsoft.com/office/drawing/2014/chart" uri="{C3380CC4-5D6E-409C-BE32-E72D297353CC}">
              <c16:uniqueId val="{00000000-6A1D-4308-8279-3BC580D7846B}"/>
            </c:ext>
          </c:extLst>
        </c:ser>
        <c:ser>
          <c:idx val="1"/>
          <c:order val="1"/>
          <c:tx>
            <c:strRef>
              <c:f>HORAS!$C$3</c:f>
              <c:strCache>
                <c:ptCount val="1"/>
                <c:pt idx="0">
                  <c:v>Suma de HORAS RESPONSABLES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HORAS!$A$4:$A$13</c:f>
              <c:strCache>
                <c:ptCount val="9"/>
                <c:pt idx="0">
                  <c:v>1. GESTIÓN Y COMUNICACIÓN DEL PLAN DE IGUALDAD</c:v>
                </c:pt>
                <c:pt idx="1">
                  <c:v>2. ACCESO Y PROMOCIÓN EN EL EMPLEO PÚBLICO</c:v>
                </c:pt>
                <c:pt idx="2">
                  <c:v>3. FORMACIÓN Y CAPACITACIÓN CON PERSPECTIVA DE GÉNERO</c:v>
                </c:pt>
                <c:pt idx="3">
                  <c:v>4. SEGURIDAD Y SALUD LABORAL</c:v>
                </c:pt>
                <c:pt idx="4">
                  <c:v>5. VALORACIÓN DE PUESTOS DE TRABAJO Y AUDITORÍA RETRIBUTIVA</c:v>
                </c:pt>
                <c:pt idx="5">
                  <c:v>6. CONCILIACIÓN CORRESPONSABLE</c:v>
                </c:pt>
                <c:pt idx="6">
                  <c:v>7. CULTURA ORGANIZACIONAL</c:v>
                </c:pt>
                <c:pt idx="7">
                  <c:v>8. VIOLENCIA MACHISTA, ACOSO SEXUAL Y ACOSO POR RAZÓN DE SEXO</c:v>
                </c:pt>
                <c:pt idx="8">
                  <c:v>9. PRODUCTOS Y SERVICIOS CON PERSPECTIVA DE GÉNERO</c:v>
                </c:pt>
              </c:strCache>
            </c:strRef>
          </c:cat>
          <c:val>
            <c:numRef>
              <c:f>HORAS!$C$4:$C$13</c:f>
              <c:numCache>
                <c:formatCode>General</c:formatCode>
                <c:ptCount val="9"/>
                <c:pt idx="0">
                  <c:v>44</c:v>
                </c:pt>
                <c:pt idx="1">
                  <c:v>36</c:v>
                </c:pt>
                <c:pt idx="2">
                  <c:v>23</c:v>
                </c:pt>
                <c:pt idx="3">
                  <c:v>22</c:v>
                </c:pt>
                <c:pt idx="4">
                  <c:v>104</c:v>
                </c:pt>
                <c:pt idx="5">
                  <c:v>8</c:v>
                </c:pt>
                <c:pt idx="6">
                  <c:v>50</c:v>
                </c:pt>
                <c:pt idx="7">
                  <c:v>12</c:v>
                </c:pt>
                <c:pt idx="8">
                  <c:v>35</c:v>
                </c:pt>
              </c:numCache>
            </c:numRef>
          </c:val>
          <c:extLst>
            <c:ext xmlns:c16="http://schemas.microsoft.com/office/drawing/2014/chart" uri="{C3380CC4-5D6E-409C-BE32-E72D297353CC}">
              <c16:uniqueId val="{00000001-6A1D-4308-8279-3BC580D7846B}"/>
            </c:ext>
          </c:extLst>
        </c:ser>
        <c:dLbls>
          <c:showLegendKey val="0"/>
          <c:showVal val="1"/>
          <c:showCatName val="0"/>
          <c:showSerName val="0"/>
          <c:showPercent val="0"/>
          <c:showBubbleSize val="0"/>
        </c:dLbls>
        <c:gapWidth val="150"/>
        <c:overlap val="100"/>
        <c:axId val="2009454207"/>
        <c:axId val="281689455"/>
      </c:barChart>
      <c:catAx>
        <c:axId val="20094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281689455"/>
        <c:crosses val="autoZero"/>
        <c:auto val="1"/>
        <c:lblAlgn val="ctr"/>
        <c:lblOffset val="100"/>
        <c:noMultiLvlLbl val="0"/>
      </c:catAx>
      <c:valAx>
        <c:axId val="281689455"/>
        <c:scaling>
          <c:orientation val="minMax"/>
        </c:scaling>
        <c:delete val="1"/>
        <c:axPos val="l"/>
        <c:numFmt formatCode="General" sourceLinked="1"/>
        <c:majorTickMark val="none"/>
        <c:minorTickMark val="none"/>
        <c:tickLblPos val="nextTo"/>
        <c:crossAx val="2009454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51945980579201"/>
          <c:y val="7.187091985590173E-2"/>
          <c:w val="0.63672453682503738"/>
          <c:h val="0.92426897951198395"/>
        </c:manualLayout>
      </c:layout>
      <c:barChart>
        <c:barDir val="bar"/>
        <c:grouping val="clustered"/>
        <c:varyColors val="0"/>
        <c:ser>
          <c:idx val="0"/>
          <c:order val="0"/>
          <c:tx>
            <c:v>Total</c:v>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Lit>
              <c:ptCount val="9"/>
              <c:pt idx="0">
                <c:v>1. GESTIÓN Y COMUNICACIÓN DEL PLAN DE IGUALDAD</c:v>
              </c:pt>
              <c:pt idx="1">
                <c:v>2. ACCESO Y PROMOCIÓN EN EL EMPLEO PÚBLICO</c:v>
              </c:pt>
              <c:pt idx="2">
                <c:v>3. FORMACIÓN Y CAPACITACIÓN CON PERSPECTIVA DE GÉNERO</c:v>
              </c:pt>
              <c:pt idx="3">
                <c:v>4. SEGURIDAD Y SALUD LABORAL</c:v>
              </c:pt>
              <c:pt idx="4">
                <c:v>5. VALORACIÓN DE PUESTOS DE TRABAJO Y AUDITORÍA RETRIBUTIVA</c:v>
              </c:pt>
              <c:pt idx="5">
                <c:v>6. CONCILIACIÓN CORRESPONSABLE</c:v>
              </c:pt>
              <c:pt idx="6">
                <c:v>7. CULTURA ORGANIZACIONAL</c:v>
              </c:pt>
              <c:pt idx="7">
                <c:v>8. VIOLENCIA MACHISTA, ACOSO SEXUAL Y ACOSO POR RAZÓN DE SEXO</c:v>
              </c:pt>
              <c:pt idx="8">
                <c:v>9. PRODUCTOS Y SERVICIOS CON PERSPECTIVA DE GÉNERO</c:v>
              </c:pt>
            </c:strLit>
          </c:cat>
          <c:val>
            <c:numLit>
              <c:formatCode>General</c:formatCode>
              <c:ptCount val="9"/>
              <c:pt idx="0">
                <c:v>8</c:v>
              </c:pt>
              <c:pt idx="1">
                <c:v>6</c:v>
              </c:pt>
              <c:pt idx="2">
                <c:v>6</c:v>
              </c:pt>
              <c:pt idx="3">
                <c:v>5</c:v>
              </c:pt>
              <c:pt idx="4">
                <c:v>2</c:v>
              </c:pt>
              <c:pt idx="5">
                <c:v>4</c:v>
              </c:pt>
              <c:pt idx="6">
                <c:v>10</c:v>
              </c:pt>
              <c:pt idx="7">
                <c:v>5</c:v>
              </c:pt>
              <c:pt idx="8">
                <c:v>4</c:v>
              </c:pt>
            </c:numLit>
          </c:val>
          <c:extLst>
            <c:ext xmlns:c16="http://schemas.microsoft.com/office/drawing/2014/chart" uri="{C3380CC4-5D6E-409C-BE32-E72D297353CC}">
              <c16:uniqueId val="{00000000-E9CD-49E1-98CF-9EECBE4B1CDE}"/>
            </c:ext>
          </c:extLst>
        </c:ser>
        <c:dLbls>
          <c:showLegendKey val="0"/>
          <c:showVal val="0"/>
          <c:showCatName val="0"/>
          <c:showSerName val="0"/>
          <c:showPercent val="0"/>
          <c:showBubbleSize val="0"/>
        </c:dLbls>
        <c:gapWidth val="115"/>
        <c:overlap val="-20"/>
        <c:axId val="1155473919"/>
        <c:axId val="1155475839"/>
      </c:barChart>
      <c:catAx>
        <c:axId val="1155473919"/>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155475839"/>
        <c:crosses val="autoZero"/>
        <c:auto val="1"/>
        <c:lblAlgn val="ctr"/>
        <c:lblOffset val="100"/>
        <c:noMultiLvlLbl val="0"/>
      </c:catAx>
      <c:valAx>
        <c:axId val="115547583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15547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PLAN DE IGUALDAD CCASSA.xlsx]HORAS!TablaDinámica1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GRAFICO</a:t>
            </a:r>
            <a:r>
              <a:rPr lang="es-ES" baseline="0"/>
              <a:t> DE DEDICACIÓN HORARIA AT Y PERSONAL </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HORAS!$B$3</c:f>
              <c:strCache>
                <c:ptCount val="1"/>
                <c:pt idx="0">
                  <c:v>Suma de HORAS DE DEDICACIÓN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HORAS!$A$4:$A$13</c:f>
              <c:strCache>
                <c:ptCount val="9"/>
                <c:pt idx="0">
                  <c:v>1. GESTIÓN Y COMUNICACIÓN DEL PLAN DE IGUALDAD</c:v>
                </c:pt>
                <c:pt idx="1">
                  <c:v>2. ACCESO Y PROMOCIÓN EN EL EMPLEO PÚBLICO</c:v>
                </c:pt>
                <c:pt idx="2">
                  <c:v>3. FORMACIÓN Y CAPACITACIÓN CON PERSPECTIVA DE GÉNERO</c:v>
                </c:pt>
                <c:pt idx="3">
                  <c:v>4. SEGURIDAD Y SALUD LABORAL</c:v>
                </c:pt>
                <c:pt idx="4">
                  <c:v>5. VALORACIÓN DE PUESTOS DE TRABAJO Y AUDITORÍA RETRIBUTIVA</c:v>
                </c:pt>
                <c:pt idx="5">
                  <c:v>6. CONCILIACIÓN CORRESPONSABLE</c:v>
                </c:pt>
                <c:pt idx="6">
                  <c:v>7. CULTURA ORGANIZACIONAL</c:v>
                </c:pt>
                <c:pt idx="7">
                  <c:v>8. VIOLENCIA MACHISTA, ACOSO SEXUAL Y ACOSO POR RAZÓN DE SEXO</c:v>
                </c:pt>
                <c:pt idx="8">
                  <c:v>9. PRODUCTOS Y SERVICIOS CON PERSPECTIVA DE GÉNERO</c:v>
                </c:pt>
              </c:strCache>
            </c:strRef>
          </c:cat>
          <c:val>
            <c:numRef>
              <c:f>HORAS!$B$4:$B$13</c:f>
              <c:numCache>
                <c:formatCode>General</c:formatCode>
                <c:ptCount val="9"/>
                <c:pt idx="0">
                  <c:v>198</c:v>
                </c:pt>
                <c:pt idx="1">
                  <c:v>82</c:v>
                </c:pt>
                <c:pt idx="2">
                  <c:v>82</c:v>
                </c:pt>
                <c:pt idx="3">
                  <c:v>42</c:v>
                </c:pt>
                <c:pt idx="4">
                  <c:v>4</c:v>
                </c:pt>
                <c:pt idx="5">
                  <c:v>25</c:v>
                </c:pt>
                <c:pt idx="6">
                  <c:v>98</c:v>
                </c:pt>
                <c:pt idx="7">
                  <c:v>26</c:v>
                </c:pt>
                <c:pt idx="8">
                  <c:v>100</c:v>
                </c:pt>
              </c:numCache>
            </c:numRef>
          </c:val>
          <c:extLst>
            <c:ext xmlns:c16="http://schemas.microsoft.com/office/drawing/2014/chart" uri="{C3380CC4-5D6E-409C-BE32-E72D297353CC}">
              <c16:uniqueId val="{00000000-1FE8-4AFB-9305-FD11648EF554}"/>
            </c:ext>
          </c:extLst>
        </c:ser>
        <c:ser>
          <c:idx val="1"/>
          <c:order val="1"/>
          <c:tx>
            <c:strRef>
              <c:f>HORAS!$C$3</c:f>
              <c:strCache>
                <c:ptCount val="1"/>
                <c:pt idx="0">
                  <c:v>Suma de HORAS RESPONSABLES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HORAS!$A$4:$A$13</c:f>
              <c:strCache>
                <c:ptCount val="9"/>
                <c:pt idx="0">
                  <c:v>1. GESTIÓN Y COMUNICACIÓN DEL PLAN DE IGUALDAD</c:v>
                </c:pt>
                <c:pt idx="1">
                  <c:v>2. ACCESO Y PROMOCIÓN EN EL EMPLEO PÚBLICO</c:v>
                </c:pt>
                <c:pt idx="2">
                  <c:v>3. FORMACIÓN Y CAPACITACIÓN CON PERSPECTIVA DE GÉNERO</c:v>
                </c:pt>
                <c:pt idx="3">
                  <c:v>4. SEGURIDAD Y SALUD LABORAL</c:v>
                </c:pt>
                <c:pt idx="4">
                  <c:v>5. VALORACIÓN DE PUESTOS DE TRABAJO Y AUDITORÍA RETRIBUTIVA</c:v>
                </c:pt>
                <c:pt idx="5">
                  <c:v>6. CONCILIACIÓN CORRESPONSABLE</c:v>
                </c:pt>
                <c:pt idx="6">
                  <c:v>7. CULTURA ORGANIZACIONAL</c:v>
                </c:pt>
                <c:pt idx="7">
                  <c:v>8. VIOLENCIA MACHISTA, ACOSO SEXUAL Y ACOSO POR RAZÓN DE SEXO</c:v>
                </c:pt>
                <c:pt idx="8">
                  <c:v>9. PRODUCTOS Y SERVICIOS CON PERSPECTIVA DE GÉNERO</c:v>
                </c:pt>
              </c:strCache>
            </c:strRef>
          </c:cat>
          <c:val>
            <c:numRef>
              <c:f>HORAS!$C$4:$C$13</c:f>
              <c:numCache>
                <c:formatCode>General</c:formatCode>
                <c:ptCount val="9"/>
                <c:pt idx="0">
                  <c:v>44</c:v>
                </c:pt>
                <c:pt idx="1">
                  <c:v>36</c:v>
                </c:pt>
                <c:pt idx="2">
                  <c:v>23</c:v>
                </c:pt>
                <c:pt idx="3">
                  <c:v>22</c:v>
                </c:pt>
                <c:pt idx="4">
                  <c:v>104</c:v>
                </c:pt>
                <c:pt idx="5">
                  <c:v>8</c:v>
                </c:pt>
                <c:pt idx="6">
                  <c:v>50</c:v>
                </c:pt>
                <c:pt idx="7">
                  <c:v>12</c:v>
                </c:pt>
                <c:pt idx="8">
                  <c:v>35</c:v>
                </c:pt>
              </c:numCache>
            </c:numRef>
          </c:val>
          <c:extLst>
            <c:ext xmlns:c16="http://schemas.microsoft.com/office/drawing/2014/chart" uri="{C3380CC4-5D6E-409C-BE32-E72D297353CC}">
              <c16:uniqueId val="{00000001-1FE8-4AFB-9305-FD11648EF554}"/>
            </c:ext>
          </c:extLst>
        </c:ser>
        <c:dLbls>
          <c:showLegendKey val="0"/>
          <c:showVal val="1"/>
          <c:showCatName val="0"/>
          <c:showSerName val="0"/>
          <c:showPercent val="0"/>
          <c:showBubbleSize val="0"/>
        </c:dLbls>
        <c:gapWidth val="150"/>
        <c:overlap val="100"/>
        <c:axId val="2009454207"/>
        <c:axId val="281689455"/>
      </c:barChart>
      <c:catAx>
        <c:axId val="20094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1689455"/>
        <c:crosses val="autoZero"/>
        <c:auto val="1"/>
        <c:lblAlgn val="ctr"/>
        <c:lblOffset val="100"/>
        <c:noMultiLvlLbl val="0"/>
      </c:catAx>
      <c:valAx>
        <c:axId val="281689455"/>
        <c:scaling>
          <c:orientation val="minMax"/>
        </c:scaling>
        <c:delete val="1"/>
        <c:axPos val="l"/>
        <c:numFmt formatCode="General" sourceLinked="1"/>
        <c:majorTickMark val="none"/>
        <c:minorTickMark val="none"/>
        <c:tickLblPos val="nextTo"/>
        <c:crossAx val="2009454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series layoutId="waterfall" uniqueId="{0A589DB1-ADA5-4246-B201-79889ABF6639}">
          <cx:dataLabels pos="ctr">
            <cx:txPr>
              <a:bodyPr spcFirstLastPara="1" vertOverflow="ellipsis" horzOverflow="overflow" wrap="square" lIns="0" tIns="0" rIns="0" bIns="0" anchor="ctr" anchorCtr="1"/>
              <a:lstStyle/>
              <a:p>
                <a:pPr algn="ctr" rtl="0">
                  <a:defRPr b="1">
                    <a:solidFill>
                      <a:schemeClr val="bg1"/>
                    </a:solidFill>
                  </a:defRPr>
                </a:pPr>
                <a:endParaRPr lang="es-ES" sz="900" b="1" i="0" u="none" strike="noStrike" baseline="0">
                  <a:solidFill>
                    <a:schemeClr val="bg1"/>
                  </a:solidFill>
                  <a:latin typeface="Tw Cen MT" panose="020B0602020104020603"/>
                </a:endParaRPr>
              </a:p>
            </cx:txPr>
            <cx:visibility seriesName="0" categoryName="1" value="1"/>
            <cx:separator>, </cx:separator>
          </cx:dataLabels>
          <cx:dataId val="0"/>
          <cx:layoutPr>
            <cx:visibility connectorLines="1"/>
            <cx:subtotals/>
          </cx:layoutPr>
        </cx:series>
      </cx:plotAreaRegion>
      <cx:axis id="0" hidden="1">
        <cx:valScaling/>
        <cx:tickLabels/>
      </cx:axis>
      <cx:axis id="1" hidden="1">
        <cx:catScaling gapWidth="0.5"/>
        <cx:tickLabels/>
      </cx:axis>
    </cx:plotArea>
  </cx:chart>
  <cx:spPr>
    <a:noFill/>
    <a:ln>
      <a:solidFill>
        <a:schemeClr val="accent1"/>
      </a:solid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OBJETIVOS POR ÁREA</cx:v>
        </cx:txData>
      </cx:tx>
      <cx:txPr>
        <a:bodyPr spcFirstLastPara="1" vertOverflow="ellipsis" horzOverflow="overflow" wrap="square" lIns="0" tIns="0" rIns="0" bIns="0" anchor="ctr" anchorCtr="1"/>
        <a:lstStyle/>
        <a:p>
          <a:pPr algn="ctr" rtl="0">
            <a:defRPr>
              <a:solidFill>
                <a:schemeClr val="bg1"/>
              </a:solidFill>
            </a:defRPr>
          </a:pPr>
          <a:r>
            <a:rPr lang="es-ES" sz="1400" b="0" i="0" u="none" strike="noStrike" baseline="0">
              <a:solidFill>
                <a:schemeClr val="bg1"/>
              </a:solidFill>
              <a:latin typeface="Tw Cen MT" panose="020B0602020104020603"/>
            </a:rPr>
            <a:t>OBJETIVOS POR ÁREA</a:t>
          </a:r>
        </a:p>
      </cx:txPr>
    </cx:title>
    <cx:plotArea>
      <cx:plotAreaRegion>
        <cx:series layoutId="funnel" uniqueId="{C27BC497-969D-4EC1-ACBD-9D77DA531BE2}">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a:solidFill>
                  <a:schemeClr val="bg1"/>
                </a:solidFill>
              </a:defRPr>
            </a:pPr>
            <a:endParaRPr lang="es-ES" sz="800" b="0" i="0" u="none" strike="noStrike" baseline="0">
              <a:solidFill>
                <a:schemeClr val="bg1"/>
              </a:solidFill>
              <a:latin typeface="Tw Cen MT" panose="020B0602020104020603"/>
            </a:endParaRPr>
          </a:p>
        </cx:txPr>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series layoutId="waterfall" uniqueId="{0A589DB1-ADA5-4246-B201-79889ABF6639}">
          <cx:dataLabels pos="ctr">
            <cx:visibility seriesName="0" categoryName="0" value="1"/>
            <cx:separator>, </cx:separator>
          </cx:dataLabels>
          <cx:dataId val="0"/>
          <cx:layoutPr>
            <cx:visibility connectorLines="1"/>
            <cx:subtotals/>
          </cx:layoutPr>
        </cx:series>
      </cx:plotAreaRegion>
      <cx:axis id="0" hidden="1">
        <cx:valScaling/>
        <cx:tickLabels/>
      </cx:axis>
      <cx:axis id="1">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95251</xdr:colOff>
      <xdr:row>2</xdr:row>
      <xdr:rowOff>95251</xdr:rowOff>
    </xdr:from>
    <xdr:to>
      <xdr:col>17</xdr:col>
      <xdr:colOff>689428</xdr:colOff>
      <xdr:row>9</xdr:row>
      <xdr:rowOff>30845</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6A1D5D01-D84D-46F2-AB0E-A11FCC6905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67189" y="447676"/>
              <a:ext cx="10366827" cy="1169082"/>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oneCellAnchor>
    <xdr:from>
      <xdr:col>8</xdr:col>
      <xdr:colOff>95250</xdr:colOff>
      <xdr:row>0</xdr:row>
      <xdr:rowOff>0</xdr:rowOff>
    </xdr:from>
    <xdr:ext cx="5895982" cy="483274"/>
    <xdr:sp macro="" textlink="">
      <xdr:nvSpPr>
        <xdr:cNvPr id="3" name="Rectángulo 2">
          <a:extLst>
            <a:ext uri="{FF2B5EF4-FFF2-40B4-BE49-F238E27FC236}">
              <a16:creationId xmlns:a16="http://schemas.microsoft.com/office/drawing/2014/main" id="{973B3849-39E9-08C6-B7CE-A5776801A36A}"/>
            </a:ext>
          </a:extLst>
        </xdr:cNvPr>
        <xdr:cNvSpPr/>
      </xdr:nvSpPr>
      <xdr:spPr>
        <a:xfrm>
          <a:off x="6590393" y="0"/>
          <a:ext cx="5895982" cy="483274"/>
        </a:xfrm>
        <a:prstGeom prst="rect">
          <a:avLst/>
        </a:prstGeom>
        <a:noFill/>
      </xdr:spPr>
      <xdr:txBody>
        <a:bodyPr wrap="square" lIns="91440" tIns="45720" rIns="91440" bIns="45720">
          <a:spAutoFit/>
        </a:bodyPr>
        <a:lstStyle/>
        <a:p>
          <a:pPr algn="ctr"/>
          <a:r>
            <a:rPr lang="es-E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Caracteristicas</a:t>
          </a:r>
          <a:r>
            <a:rPr lang="es-ES"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del plan</a:t>
          </a:r>
          <a:endParaRPr lang="es-E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xdr:from>
      <xdr:col>0</xdr:col>
      <xdr:colOff>350073</xdr:colOff>
      <xdr:row>11</xdr:row>
      <xdr:rowOff>127000</xdr:rowOff>
    </xdr:from>
    <xdr:to>
      <xdr:col>11</xdr:col>
      <xdr:colOff>230908</xdr:colOff>
      <xdr:row>34</xdr:row>
      <xdr:rowOff>98136</xdr:rowOff>
    </xdr:to>
    <mc:AlternateContent xmlns:mc="http://schemas.openxmlformats.org/markup-compatibility/2006">
      <mc:Choice xmlns:cx2="http://schemas.microsoft.com/office/drawing/2015/10/21/chartex" Requires="cx2">
        <xdr:graphicFrame macro="">
          <xdr:nvGraphicFramePr>
            <xdr:cNvPr id="4" name="Gráfico 3">
              <a:extLst>
                <a:ext uri="{FF2B5EF4-FFF2-40B4-BE49-F238E27FC236}">
                  <a16:creationId xmlns:a16="http://schemas.microsoft.com/office/drawing/2014/main" id="{F5A3EAB6-F3BD-44FF-94AF-874CF5D7DB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0073" y="2065338"/>
              <a:ext cx="8839098" cy="4024023"/>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11</xdr:col>
      <xdr:colOff>613558</xdr:colOff>
      <xdr:row>11</xdr:row>
      <xdr:rowOff>157926</xdr:rowOff>
    </xdr:from>
    <xdr:to>
      <xdr:col>22</xdr:col>
      <xdr:colOff>507795</xdr:colOff>
      <xdr:row>34</xdr:row>
      <xdr:rowOff>126999</xdr:rowOff>
    </xdr:to>
    <xdr:graphicFrame macro="">
      <xdr:nvGraphicFramePr>
        <xdr:cNvPr id="5" name="Gráfico 4">
          <a:extLst>
            <a:ext uri="{FF2B5EF4-FFF2-40B4-BE49-F238E27FC236}">
              <a16:creationId xmlns:a16="http://schemas.microsoft.com/office/drawing/2014/main" id="{26C530E0-3C17-4A1D-9F7D-9975D5F4A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404091</xdr:colOff>
      <xdr:row>36</xdr:row>
      <xdr:rowOff>144318</xdr:rowOff>
    </xdr:from>
    <xdr:to>
      <xdr:col>22</xdr:col>
      <xdr:colOff>623455</xdr:colOff>
      <xdr:row>69</xdr:row>
      <xdr:rowOff>57728</xdr:rowOff>
    </xdr:to>
    <xdr:graphicFrame macro="">
      <xdr:nvGraphicFramePr>
        <xdr:cNvPr id="6" name="Gráfico 5">
          <a:extLst>
            <a:ext uri="{FF2B5EF4-FFF2-40B4-BE49-F238E27FC236}">
              <a16:creationId xmlns:a16="http://schemas.microsoft.com/office/drawing/2014/main" id="{8A60326F-3953-4539-827E-3F7588A56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50800</xdr:colOff>
      <xdr:row>36</xdr:row>
      <xdr:rowOff>157162</xdr:rowOff>
    </xdr:from>
    <xdr:to>
      <xdr:col>12</xdr:col>
      <xdr:colOff>444500</xdr:colOff>
      <xdr:row>56</xdr:row>
      <xdr:rowOff>152399</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204BEA03-8419-42D0-B333-DDC1632884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80438" y="6500812"/>
              <a:ext cx="10414000" cy="3519487"/>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xdr:col>
      <xdr:colOff>738331</xdr:colOff>
      <xdr:row>4</xdr:row>
      <xdr:rowOff>162790</xdr:rowOff>
    </xdr:from>
    <xdr:to>
      <xdr:col>12</xdr:col>
      <xdr:colOff>774700</xdr:colOff>
      <xdr:row>60</xdr:row>
      <xdr:rowOff>76199</xdr:rowOff>
    </xdr:to>
    <xdr:graphicFrame macro="">
      <xdr:nvGraphicFramePr>
        <xdr:cNvPr id="3" name="Gráfico 2">
          <a:extLst>
            <a:ext uri="{FF2B5EF4-FFF2-40B4-BE49-F238E27FC236}">
              <a16:creationId xmlns:a16="http://schemas.microsoft.com/office/drawing/2014/main" id="{0C28469A-A079-46CB-5FF7-E8C00A18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76198</xdr:colOff>
      <xdr:row>13</xdr:row>
      <xdr:rowOff>101600</xdr:rowOff>
    </xdr:from>
    <xdr:to>
      <xdr:col>3</xdr:col>
      <xdr:colOff>19049</xdr:colOff>
      <xdr:row>39</xdr:row>
      <xdr:rowOff>57150</xdr:rowOff>
    </xdr:to>
    <xdr:graphicFrame macro="">
      <xdr:nvGraphicFramePr>
        <xdr:cNvPr id="2" name="Gráfico 1">
          <a:extLst>
            <a:ext uri="{FF2B5EF4-FFF2-40B4-BE49-F238E27FC236}">
              <a16:creationId xmlns:a16="http://schemas.microsoft.com/office/drawing/2014/main" id="{E0A96787-18CE-5DA1-DAFF-1E292EAC4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 Kuorum -Helena Ortiz de Lejarazu" refreshedDate="46034.478066782409" createdVersion="8" refreshedVersion="8" minRefreshableVersion="3" recordCount="49" xr:uid="{C6C876FE-FFEB-4923-9300-223F189D3D8D}">
  <cacheSource type="worksheet">
    <worksheetSource name="Tabla3"/>
  </cacheSource>
  <cacheFields count="9">
    <cacheField name="EJE / ÁREA" numFmtId="0">
      <sharedItems count="9">
        <s v="1. GESTIÓN Y COMUNICACIÓN DEL PLAN DE IGUALDAD"/>
        <s v="2. ACCESO Y PROMOCIÓN EN EL EMPLEO PÚBLICO"/>
        <s v="3. FORMACIÓN Y CAPACITACIÓN CON PERSPECTIVA DE GÉNERO"/>
        <s v="4. SEGURIDAD Y SALUD LABORAL"/>
        <s v="5. VALORACIÓN DE PUESTOS DE TRABAJO Y AUDITORÍA RETRIBUTIVA"/>
        <s v="6. CONCILIACIÓN CORRESPONSABLE"/>
        <s v="7. CULTURA ORGANIZACIONAL"/>
        <s v="8. VIOLENCIA MACHISTA, ACOSO SEXUAL Y ACOSO POR RAZÓN DE SEXO"/>
        <s v="9. PRODUCTOS Y SERVICIOS CON PERSPECTIVA DE GÉNERO"/>
      </sharedItems>
    </cacheField>
    <cacheField name="METAS" numFmtId="0">
      <sharedItems count="20" longText="1">
        <s v="1.1. Institucionalizar estructuras de gobernanza feminista que sostengan el impulso, seguimiento y rendición de cuentas del Plan de Igualdad."/>
        <s v="1.2. Garantizar una gestión estratégica, operativa y evaluable del Plan de Igualdad como herramienta viva de transformación organizacional."/>
        <s v="1.3. Consolidar una comunicación interna activa, accesible y pedagógica que democratice el conocimiento sobre el Plan y sus avances."/>
        <s v="2.1. Asegurar el cumplimiento de la legislación vigente en materia de igualdad en la contratación de CCASA."/>
        <s v="2.2. Reducir la segregación vertical y horizontal, asegurando la presencia equilibrada de mujeres en todos los puestos y en todas las áreas."/>
        <s v="2.3. Evaluar sistemáticamente la calidad de los procesos y proponer mejoras para avanzar en la igualdad real."/>
        <s v="3.1. Dotar al personal de CCASA de los conocimientos necesarios para introducir la perspectiva de género en su actividad."/>
        <s v="3.2. Proporcionar a CCASA espacios formativos que transformen las relaciones de género mediante el empoderamiento de las mujeres y la revisión crítica de las masculinidades."/>
        <s v="3.3. Introducir la perspectiva de género en toda la formación externa contratada o financiada por CCASA."/>
        <s v="4.1. Dotar a CCASA de una infraestructura de riesgos laborales que incorpore la perspectiva de género, asegurando que el personal que gestiona el servicio tiene formación en igualdad y que se aplican las herramientas de trabajo en materia de riesgos laborales."/>
        <s v="4.2. Planificar y evaluar anualmente la integración de la perspectiva de género en el Servicio de Prevención."/>
        <s v="5.1. Evaluar y difundir anualmente las brechas salariales, garantizando la igualdad retributiva y la transparencia salarial conforme al marco legal vigente."/>
        <s v="6.1. Garantizar medidas de conciliación eficaces, evaluables, transparentes y adaptadas a las necesidades reales de la plantilla."/>
        <s v="7.1. Mantener y fortalecer la visibilidad institucional del compromiso de CCASA con la igualdad de mujeres y hombres."/>
        <s v="7.2. Consolidar el uso sistemático del lenguaje inclusivo y no sexista en toda la documentación corporativa."/>
        <s v="7.3. Transformar la cultura organizacional hacia modelos de liderazgo feministas, corresponsables y equitativos."/>
        <s v="8.1. Garantizar la adecuación del marco normativo y convencional de CCASA al Decreto Legislativo 1/2023 y al enfoque feminista de prevención de las violencias."/>
        <s v="8.2. Consolidar el compromiso interno de CCASA frente a la violencia machista y su expresión pública."/>
        <s v="9.1. Incorporar la perspectiva de género en los sistemas de información y servicios digitales de CCASA."/>
        <s v="9.2. Garantizar diseños y arquitecturas digitales inclusivas, libres de sesgos y estereotipos de género." u="1"/>
      </sharedItems>
    </cacheField>
    <cacheField name="MEDIDA / ACCIÓN" numFmtId="0">
      <sharedItems count="56" longText="1">
        <s v="1.1.1. Reunir al Grupo Motor del Plan (Asistencia Técnica de Igualdad y responsable de RR. HH.) una vez al mes, garantizando la coordinación técnica y la integración de la perspectiva de género en la gestión ordinaria."/>
        <s v="1.1.2. Convocar la Comisión de Seguimiento del Plan de Igualdad dos veces al año, para analizar avances y retos y aprobar los informes de planificación y seguimiento."/>
        <s v="1.2.1. Diseñar, elaborar y aprobar el Programa Operativo Anual de Igualdad con objetivos, medidas, acciones, responsables, indicadores y presupuesto."/>
        <s v="1.2.2. Elaborar el informe anual de seguimiento y evaluación del Plan."/>
        <s v="1.2.3. Elaborar la memoria de evaluación final del III Plan para la Igualdad."/>
        <s v="1.3.1. Enviar una comunicación institucional anual a toda la plantilla con un resumen de la planificación operativa y de los resultados del seguimiento y evaluación."/>
        <s v="1.3.2. Mantener el espacio en la intranet corporativa sobre igualdad que recoja el Plan vigente, los informes anuales, materiales formativos y noticias relevantes."/>
        <s v="2.1.1. Incluir cláusulas de igualdad en las bases de todos los procesos (lenguaje no sexista, composición equilibrada, cláusula de desempate, valoración del tiempo de corresponsabilidad, protección de la maternidad, valoración de formación en igualdad)."/>
        <s v="2.1.2. Incorporar criterios de valoración específicos en igualdad, incluyendo conocimientos acreditados en igualdad y perspectiva de género en el ámbito tecnológico."/>
        <s v="2.1.3. Aplicar la Evaluación de Impacto de Género (EIG) en los procesos de selección y promoción para adaptar los criterios de valoración a las desigualdades detectadas."/>
        <s v="2.2.1. Aplicar acciones positivas en nuevas vacantes de puestos de responsabilidad, seleccionando al sexo menos representado hasta alcanzar un 40% de presencia en todos los niveles de responsabilidad de CCASA."/>
        <s v="2.2.2. Reducir la segregación horizontal, aplicando acciones positivas en nuevas vacantes que consistan en seleccionar al sexo menos representado hasta alcanzar un 40% de presencia en todas las áreas de CCASA."/>
        <s v="2.3.1. Crear un grupo de trabajo permanente entre la empresa seleccionadora, RR. HH. y la Asistencia Técnica de Igualdad para revisar las bases y la fase de valoración de méritos, detectar sesgos y proponer mejoras. El grupo de trabajo estará integrado por la dirección de CCASA, representación sindical, de recursos humanos e igualdad."/>
        <s v="2.3.2. Elaborar un informe anual de seguimiento y evaluación de los procesos de acceso y promoción con datos desagregados por sexo, tipo de proceso y resultados."/>
        <s v="3.1.1. Desarrollar una formación mixta anual dirigida a toda la plantilla con los siguientes módulos: 1) Legislación vigente en materia de igualdad. 2) Igualdad en la tecnología y entornos digitales. 3) Incorporación de la perspectiva de género en la gestión y en los proyectos tecnológicos. 4) Elaboración de Evaluaciones de Impacto de Género (EIG). Temas complementarios: comunicación inclusiva, prevención de la violencia digital, liderazgo igualitario."/>
        <s v="3.2.1. Ofrecer una formación anual dirigida a mujeres centrada en el empoderamiento profesional, el liderazgo y la gestión de la autoridad en entornos masculinizados."/>
        <s v="3.2.2. Realizar una formación anual dirigida a hombres sobre nuevas masculinidades, corresponsabilidad, prevención de la violencia machista y transformación de las dinámicas masculinizadas en los equipos."/>
        <s v="3.3.1. Incorporar cláusulas de igualdad en todos los contratos, convenios o acuerdos relativos a formación externa, garantizando que los contenidos, metodologías y materiales incluyan la perspectiva de género y asegurar que la plataforma de formación inluya la perspectiva de género. "/>
        <s v="3.3.2. Solicitar a las entidades proveedoras un informe previo sobre los contenidos de la formación, indicando cómo se integra la perspectiva de género."/>
        <s v="3.3.3. Elaborar un informe anual sobre las formaciones externas realizadas, detallando contenidos, personas asistentes (desagregadas por sexo) y valoración del cumplimiento de las cláusulas de igualdad."/>
        <s v="4.1.1. Incorporar en la nueva contratación del servicio de prevención cláusulas que aseguren la disponibilidad de personal técnico con formación acreditada en igualdad y PRL con perspectiva de género, e incluyan la obligación de elaborar un nuevo Plan de Prevención con perspectiva de género. La Asistencia Técnica en Igualdad revisará los documentos elaborados y propondrá mejoras o ajustes."/>
        <s v="4.1.2. Elaborar, en el marco del nuevo contrato de prevención, un Plan de Prevención con perspectiva de género, conforme al Decreto Legislativo 1/2023 y a las herramientas de Osalan."/>
        <s v="4.2.1. Establecer una planificación anual de trabajo conjunta entre RR. HH., la Asistencia Técnica de Igualdad y el Servicio de Prevención, con al menos dos reuniones anuales (una de planificación y otra de seguimiento)."/>
        <s v="4.2.2. Incluir en las reuniones anuales de coordinación un apartado fijo sobre riesgos emergentes —teletrabajo, burnout, síndrome del impostor, violencia digital y discriminación algorítmica—, analizando su evolución y posibles medidas preventivas."/>
        <s v="4.2.3. Elaborar un informe anual sobre seguridad y salud laboral con perspectiva de género, realizado por el Servicio de Prevención y revisado por la Asistencia Técnica de Igualdad."/>
        <s v="5.1.1. Realizar anualmente la auditoría retributiva conforme al Real Decreto 902/2020 y a la herramienta oficial del Ministerio, incluyendo el análisis de brechas salariales, diferencias justificadas y no justificadas, y causas identificadas."/>
        <s v="5.1.2. Presentar los resultados de la auditoría retributiva a la plantilla mediante sesión informativa y/o difusión en la intranet, garantizando la transparencia y la comprensión del sistema retributivo."/>
        <s v="6.1.1. Revisar y evaluar anualmente las medidas de conciliación y flexibilidad horaria, adaptándolas a las necesidades reales de la plantilla y a los cambios normativos y organizativos."/>
        <s v="6.1.2. Elaborar y aplicar un cuestionario  de satisfacción sobre conciliación y corresponsabilidad, analizar los resultados y elaborar un informe interno con propuestas de mejora."/>
        <s v="6.1.3. Difundir a toda la plantilla las medidas de conciliación disponibles y los resultados de la evaluación y del cuestionario, mediante folleto o comunicación institucional."/>
        <s v="7.1.1. Mantener la presencia del Plan de Igualdad en los canales internos y externos de comunicación corporativa (intranet, web, presentaciones institucionales, eventos, memorias), garantizando la actualización anual de sus contenidos y resultados."/>
        <s v="7.1.2. Incorporar mensajes institucionales sobre igualdad y diversidad en las comunicaciones públicas, ponencias técnicas y materiales corporativos."/>
        <s v="7.2.1. Difundir el manual elaborado por la Diputación Foral de Álava sobre uso de un lenguaje inclusivo entre toda la plantilla, garantizando su accesibilidad a través de la intranet y su disponibilidad en todos los departamentos."/>
        <s v="7.2.2. Realizar una acción formativa dirigida a toda la plantilla para comunicar los contenidos del manual y facilitar su aplicación práctica en la redacción de documentos, correos electrónicos y comunicaciones técnicas."/>
        <s v="7.3.1. Contratar a una persona experta en cultura organizacional pro igualdad para acompañar el diseño e implementación de acciones de cambio cultural."/>
        <s v="7.3.2. Desarrollar formación en liderazgo para la igualdad y con perspectiva de género dirigida a mandos intermedios, responsables de área y personal directivo."/>
        <s v="7.3.3. Poner en marcha una acción formativa o programa de mentoring para promover el liderazgo y la visibilidad de las mujeres en el ámbito tecnológico y en la organización."/>
        <s v="7.3.4. Realizar una formación específica sobre cultura organizacional pro equidad, centrada en valores, dinámicas y prácticas laborales igualitarias."/>
        <s v="7.3.5. Diseñar los contenidos en materia de igualdad a incorporar en el manual de acogida de las personas trabajadoras, asegurando que reflejen los compromisos, medidas y procedimientos del Plan de Igualdad."/>
        <s v="8.1.1. Impulsar la revisión del convenio colectivo para adecuar el artículo 27 a la definición de violencia machista del Decreto Legislativo 1/2023, incorporando medios de acreditación ampliados y lenguaje no sexista."/>
        <s v="8.1.2. Mantener la inclusión de cláusulas de igualdad en la contratación externa, exigiendo protocolos propios frente al acoso sexual y por razón de sexo, y realizar seguimiento de su cumplimiento."/>
        <s v="8.2.1. Difundir anualmente, con motivo del 25N, el Protocolo de actuación frente al acoso sexual y por razón de sexo, recordando los canales de denuncia y las garantías de confidencialidad."/>
        <s v="8.2.2. Realizar una formación anual con motivo del 25N sobre violencia machista en el ámbito laboral y tecnológico (violencia digital, ciberacoso, micromachismos, responsabilidad institucional, etc.)."/>
        <s v="8.2.3. Incluir mensajes institucionales de tolerancia cero ante la violencia machista en las comunicaciones públicas y campañas internas de CCASA."/>
        <s v="9.1.1. Participar en el proyecto de diagnóstico del cumplimiento del artículo 17 de la Ley Orgánica 3/2007, liderando internamente la identificación de todas las aplicaciones y bases de dato, proyectos y programas que s que gestionan información de personas, determinando cuáles recogen la variable sexo y cuáles deben adaptarse. • Fase 1: identificar proyectos programas aplicaciones o productos de CCASA . • Fase 2: priorizar por impacto y riesgo. • Fase 3: elaborar un cronograma factible en función de los recursos del Centro de Cálculo."/>
        <s v="9.1.2.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y coordinar el servicio de igualdad con la Unidad de Estrategia del Dato. "/>
        <s v="9.1.3. Coordinar con las áreas de la Diputación la financiación y el desarrollo de las adaptaciones informáticas necesarias para garantizar la desagregación por sexo en las herramientas de análisis y en los proyectos piloto."/>
        <s v="9.1.4. Automatizar la explotación de datos desagregados por sexo en las herramientas de géstión municipal y dar acceso a la información desagregada a las entidades y personas usuarias."/>
        <s v="9.1.5 .Establecer la obligación de que los nuevos proyectos que aborde CCASA incluyan la perspectiva de género. "/>
        <s v="1.3.3. Incorporar en las reuniones internas y boletines informativos referencias al desarrollo del Plan." u="1"/>
        <s v="3.3.1. Incorporar cláusulas de igualdad en todos los contratos, convenios o acuerdos relativos a formación externa, garantizando que los contenidos, metodologías y materiales incluyan la perspectiva de género." u="1"/>
        <s v="6.1.2. Elaborar y aplicar un cuestionario bianual de satisfacción sobre conciliación y corresponsabilidad, analizar los resultados y elaborar un informe interno con propuestas de mejora." u="1"/>
        <s v="9.1.1. Participar en el proyecto de diagnóstico del cumplimiento del artículo 17 de la Ley Orgánica 3/2007, liderando internamente la identificación de todas las aplicaciones y bases de datos que gestionan información de personas, determinando cuáles recogen la variable sexo y cuáles deben adaptarse. • Fase 1: identificar aplicaciones con datos de personas. • Fase 2: priorizar por impacto y riesgo. • Fase 3: elaborar un cronograma factible en función de los recursos del Centro de Cálculo." u="1"/>
        <s v="9.1.2.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u="1"/>
        <s v="9.1.4. Automatizar la explotación de datos desagregados por sexo en Experta y dar acceso a la información desagregada a las entidades y personas usuarias." u="1"/>
        <s v="9.2.1. Incorporar la revisión de arquetipos de personas usuarias y de interfaces con perspectiva de género en todos los nuevos desarrollos de aplicaciones, evitando sesgos y estereotipos, y asegurando el uso de lenguaje e iconografía inclusiva." u="1"/>
      </sharedItems>
    </cacheField>
    <cacheField name="INDICADOR DE SEGUIMIENTO" numFmtId="0">
      <sharedItems containsBlank="1" count="50">
        <s v="Nº de reuniones celebradas / Actas elaboradas / Participación registrada."/>
        <s v="Nº de reuniones celebradas / Actas aprobadas / Grado de cumplimiento del calendario."/>
        <s v="Programa operativo aprobado / Inclusión de indicadores y presupuesto / Acta de aprobación."/>
        <s v="Informe anual elaborado y presentado a la Comisión de Seguimiento / Incorporación de resultados cuantitativos y cualitativos."/>
        <s v="Memoria final aprobada / Presentación pública interna realizada."/>
        <s v="Comunicación enviada / Porcentaje de personal receptor / Encuesta de conocimiento."/>
        <s v="Espacio creado y actualizado / Nº de visitas o descargas."/>
        <s v="% de procesos con cláusulas de igualdad / Tipología de cláusulas aplicadas."/>
        <s v="Nº de procesos con criterios específicos en igualdad / Revisión anual de convocatorias."/>
        <s v="Nº de EIG realizadas / Incorporación de ajustes derivados de la EIG."/>
        <s v="Nº de procesos con acción positiva aplicada / % de mujeres en puestos de responsabilidad."/>
        <s v="Nº de nuevas vacantes identificadas."/>
        <s v="Grupo creado / Nº de reuniones realizadas / Recomendaciones aplicadas."/>
        <s v="Informe anual elaborado / Incorporación de propuestas en convocatorias siguientes."/>
        <s v="Nº de formaciones realizadas / Nº y perfil de participantes / Valoración media / Grado de aplicación práctica."/>
        <s v="Nº de mujeres participantes / Valoración de la formación / Cambios percibidos en liderazgo y autoconfianza."/>
        <s v="Nº de hombres participantes / Valoración de la formación / Nivel de sensibilización alcanzado."/>
        <s v="Nº de contratos o convenios con cláusulas / Evaluación de cumplimiento."/>
        <s v="Nº de informes previos recibidos / Grado de adecuación a las cláusulas."/>
        <s v="Informe anual elaborado y presentado / Incorporación de mejoras en convocatorias posteriores."/>
        <s v="Inclusión de cláusulas en el contrato / Disponibilidad de personal especializado / Plan de Prevención elaborado y revisado."/>
        <s v="Plan de Prevención elaborado y aprobado / Incorporación de criterios de género en las evaluaciones de riesgo."/>
        <s v="Nº de reuniones realizadas / Actas elaboradas / Grado de cumplimiento de la planificación."/>
        <s v="Inclusión del punto en el orden del día / Nº de medidas propuestas o implementadas."/>
        <s v="Informe elaborado / Observaciones incorporadas / Medidas de mejora adoptadas."/>
        <s v="Auditoría retributiva elaborada / Brecha salarial total / Cumplimiento de plazos legales."/>
        <s v="Sesión informativa realizada / Informe difundido / Porcentaje de plantilla asistente o receptora / Nivel de comprensión y satisfacción."/>
        <s v="Evaluación anual realizada / Informe de revisión elaborado / Actualización de medidas aprobada."/>
        <s v="Cuestionario realizado / Tasa de respuesta / Informe de resultados y propuestas aprobado."/>
        <s v="Folleto o comunicación elaborada / Porcentaje de plantilla receptora / Nivel de conocimiento detectado."/>
        <s v="Nº de actualizaciones y publicaciones / Alcance y visualización en los canales / Percepción de la plantilla."/>
        <s v="Nº de comunicaciones o actos con mensajes de igualdad / Visibilidad de la igualdad en materiales institucionales."/>
        <s v="Manual difundido / Nº de descargas o accesos / Nivel de conocimiento del personal."/>
        <s v="Nº de sesiones formativas / Nº de participantes / Valoración media de la formación."/>
        <s v="Contratación realizada / Plan de trabajo definido / Medidas implementadas."/>
        <s v="Nº de formaciones realizadas / Nº de participantes / Cambios en prácticas de liderazgo."/>
        <s v="Programa o formación implementada / Nº de mujeres participantes / Valoración de impacto."/>
        <s v="Nº de formaciones realizadas / Valoración media / Aplicación práctica observada."/>
        <s v="Contenidos diseñados e integrados / Manual actualizado / Porcentaje de nuevas incorporaciones que lo reciben."/>
        <s v="Inclusión de la revisión en la negociación colectiva / Artículo 27 modificado / Incorporación del nuevo enfoque legal."/>
        <s v="Nº de contratos con cláusulas / Nº de verificaciones realizadas / Cumplimiento de la exigencia."/>
        <s v="Comunicación institucional difundida / Porcentaje de plantilla receptora / Nivel de conocimiento detectado."/>
        <s v="Nº de formaciones realizadas / Nº de participantes / Valoración media."/>
        <s v="Nº de mensajes o campañas difundidas / Alcance estimado / Valoración de impacto."/>
        <s v="Diagnóstico realizado / Aplicaciones inventariadas / Cronograma aprobado."/>
        <s v="Variable sexo incorporada en el modelo de datos / Proyectos piloto asesorados / Requisitos de igualdad integrados."/>
        <s v="Nº de áreas coordinadas / Nº de adaptaciones realizadas / Cumplimiento de cronograma."/>
        <m/>
        <s v="Nº de proyectos revisados / Cumplimiento de criterios de género en interfaces."/>
        <s v="Nº de comunicaciones internas con contenidos del Plan / Grado de visibilidad." u="1"/>
      </sharedItems>
    </cacheField>
    <cacheField name="RESPONSABLE" numFmtId="0">
      <sharedItems count="21">
        <s v="RR. HH. / Asistencia Técnica de Igualdad"/>
        <s v="RR. HH. / Comisión de Seguimiento"/>
        <s v="RR. HH. / Asistencia Técnica de Igualdad / Dirección"/>
        <s v="RR. HH. / Asistencia Técnica de Igualdad / Comisión de Seguimiento"/>
        <s v="RR. HH. / Asistencia Técnica de Igualdad / Unidad web"/>
        <s v="RR. HH. / Empresa seleccionadora / Asistencia Técnica de Igualdad"/>
        <s v="RR. HH. / Dirección / Asistencia Técnica de Igualdad"/>
        <s v="RR. HH. / Servicio de Prevención / Asistencia Técnica de Igualdad"/>
        <s v="Servicio de Prevención / RR. HH. / Asistencia Técnica de Igualdad"/>
        <s v="RR. HH. / Comisión de Igualdad / Asistencia Técnica de Igualdad"/>
        <s v="RR. HH. / Dirección / Comisión de Igualdad / Asistencia Técnica de Igualdad"/>
        <s v="RR. HH. / Asistencia Técnica de Igualdad / Comisión de Igualdad"/>
        <s v="RR. HH. / Unidad web / Asistencia Técnica de Igualdad"/>
        <s v="Dirección / RR. HH."/>
        <s v="Dirección / RR. HH. / Asistencia Técnica de Igualdad"/>
        <s v="Dirección / RR. HH. / Comité de Empresa / Asistencia Técnica de Igualdad"/>
        <s v="RR. HH. / Asistencia Técnica de Igualdad / Servicio Jurídico"/>
        <s v="Dirección / Unidad web / Asistencia Técnica de Igualdad"/>
        <s v="Dirección / Unidad de Estrategia de Datos / Asistencia Técnica de Igualdad"/>
        <s v="Dirección de Proyectos / Asistencia Técnica de Igualdad"/>
        <s v="RR. HH. / Dirección" u="1"/>
      </sharedItems>
    </cacheField>
    <cacheField name="PERIODICIDAD" numFmtId="0">
      <sharedItems count="5">
        <s v="Anual"/>
        <s v="Puntual"/>
        <s v="Puntual a partir de 2027" u="1"/>
        <s v="Puntual (próxima negociación colectiva)" u="1"/>
        <s v="Anual (25N)" u="1"/>
      </sharedItems>
    </cacheField>
    <cacheField name="HORAS DE DEDICACIÓN" numFmtId="0">
      <sharedItems containsSemiMixedTypes="0" containsString="0" containsNumber="1" containsInteger="1" minValue="2" maxValue="100"/>
    </cacheField>
    <cacheField name="HORAS RESPONSABLES" numFmtId="0">
      <sharedItems containsSemiMixedTypes="0" containsString="0" containsNumber="1" containsInteger="1" minValue="1" maxValue="100"/>
    </cacheField>
    <cacheField name="CRONOGRAMA" numFmtId="0">
      <sharedItems containsMixedTypes="1" containsNumber="1" containsInteger="1" minValue="2026" maxValue="2029" count="9">
        <s v="Anual"/>
        <n v="2029"/>
        <n v="2027"/>
        <s v="2027-2028"/>
        <n v="2026"/>
        <n v="2028"/>
        <s v="por definir"/>
        <s v="2026-208"/>
        <s v="2026-202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 Kuorum -Helena Ortiz de Lejarazu" refreshedDate="46034.514453240743" createdVersion="8" refreshedVersion="8" minRefreshableVersion="3" recordCount="52" xr:uid="{E0B21D37-7522-4871-A1AF-C2F5C6062099}">
  <cacheSource type="worksheet">
    <worksheetSource ref="A1:I1048576" sheet="BBDD"/>
  </cacheSource>
  <cacheFields count="9">
    <cacheField name="EJE / ÁREA" numFmtId="0">
      <sharedItems containsBlank="1"/>
    </cacheField>
    <cacheField name="METAS" numFmtId="0">
      <sharedItems containsBlank="1" count="20" longText="1">
        <s v="1.1. Institucionalizar estructuras de gobernanza feminista que sostengan el impulso, seguimiento y rendición de cuentas del Plan de Igualdad."/>
        <s v="1.2. Garantizar una gestión estratégica, operativa y evaluable del Plan de Igualdad como herramienta viva de transformación organizacional."/>
        <s v="1.3. Consolidar una comunicación interna activa, accesible y pedagógica que democratice el conocimiento sobre el Plan y sus avances."/>
        <s v="2.1. Asegurar el cumplimiento de la legislación vigente en materia de igualdad en la contratación de CCASA."/>
        <s v="2.2. Reducir la segregación vertical y horizontal, asegurando la presencia equilibrada de mujeres en todos los puestos y en todas las áreas."/>
        <s v="2.3. Evaluar sistemáticamente la calidad de los procesos y proponer mejoras para avanzar en la igualdad real."/>
        <s v="3.1. Dotar al personal de CCASA de los conocimientos necesarios para introducir la perspectiva de género en su actividad."/>
        <s v="3.2. Proporcionar a CCASA espacios formativos que transformen las relaciones de género mediante el empoderamiento de las mujeres y la revisión crítica de las masculinidades."/>
        <s v="3.3. Introducir la perspectiva de género en toda la formación externa contratada o financiada por CCASA."/>
        <s v="4.1. Dotar a CCASA de una infraestructura de riesgos laborales que incorpore la perspectiva de género, asegurando que el personal que gestiona el servicio tiene formación en igualdad y que se aplican las herramientas de trabajo en materia de riesgos laborales."/>
        <s v="4.2. Planificar y evaluar anualmente la integración de la perspectiva de género en el Servicio de Prevención."/>
        <s v="5.1. Evaluar y difundir anualmente las brechas salariales, garantizando la igualdad retributiva y la transparencia salarial conforme al marco legal vigente."/>
        <s v="6.1. Garantizar medidas de conciliación eficaces, evaluables, transparentes y adaptadas a las necesidades reales de la plantilla."/>
        <s v="7.1. Mantener y fortalecer la visibilidad institucional del compromiso de CCASA con la igualdad de mujeres y hombres."/>
        <s v="7.2. Consolidar el uso sistemático del lenguaje inclusivo y no sexista en toda la documentación corporativa."/>
        <s v="7.3. Transformar la cultura organizacional hacia modelos de liderazgo feministas, corresponsables y equitativos."/>
        <s v="8.1. Garantizar la adecuación del marco normativo y convencional de CCASA al Decreto Legislativo 1/2023 y al enfoque feminista de prevención de las violencias."/>
        <s v="8.2. Consolidar el compromiso interno de CCASA frente a la violencia machista y su expresión pública."/>
        <s v="9.1. Incorporar la perspectiva de género en los sistemas de información y servicios digitales de CCASA."/>
        <m/>
      </sharedItems>
    </cacheField>
    <cacheField name="MEDIDA / ACCIÓN" numFmtId="0">
      <sharedItems containsBlank="1" longText="1"/>
    </cacheField>
    <cacheField name="INDICADOR DE SEGUIMIENTO" numFmtId="0">
      <sharedItems containsBlank="1"/>
    </cacheField>
    <cacheField name="RESPONSABLE" numFmtId="0">
      <sharedItems containsBlank="1"/>
    </cacheField>
    <cacheField name="PERIODICIDAD" numFmtId="0">
      <sharedItems containsBlank="1"/>
    </cacheField>
    <cacheField name="HORAS DE DEDICACIÓN" numFmtId="0">
      <sharedItems containsString="0" containsBlank="1" containsNumber="1" containsInteger="1" minValue="2" maxValue="657"/>
    </cacheField>
    <cacheField name="HORAS RESPONSABLES" numFmtId="0">
      <sharedItems containsBlank="1" containsMixedTypes="1" containsNumber="1" containsInteger="1" minValue="1" maxValue="100"/>
    </cacheField>
    <cacheField name="CRONOGRAMA" numFmtId="0">
      <sharedItems containsBlank="1" containsMixedTypes="1" containsNumber="1" containsInteger="1" minValue="2026" maxValue="20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x v="0"/>
    <x v="0"/>
    <n v="24"/>
    <n v="12"/>
    <x v="0"/>
  </r>
  <r>
    <x v="0"/>
    <x v="0"/>
    <x v="1"/>
    <x v="1"/>
    <x v="1"/>
    <x v="0"/>
    <n v="20"/>
    <n v="10"/>
    <x v="0"/>
  </r>
  <r>
    <x v="0"/>
    <x v="1"/>
    <x v="2"/>
    <x v="2"/>
    <x v="2"/>
    <x v="0"/>
    <n v="10"/>
    <n v="4"/>
    <x v="0"/>
  </r>
  <r>
    <x v="0"/>
    <x v="1"/>
    <x v="3"/>
    <x v="3"/>
    <x v="0"/>
    <x v="0"/>
    <n v="40"/>
    <n v="4"/>
    <x v="0"/>
  </r>
  <r>
    <x v="0"/>
    <x v="1"/>
    <x v="4"/>
    <x v="4"/>
    <x v="3"/>
    <x v="1"/>
    <n v="100"/>
    <n v="10"/>
    <x v="1"/>
  </r>
  <r>
    <x v="0"/>
    <x v="2"/>
    <x v="5"/>
    <x v="5"/>
    <x v="2"/>
    <x v="0"/>
    <n v="2"/>
    <n v="2"/>
    <x v="0"/>
  </r>
  <r>
    <x v="0"/>
    <x v="2"/>
    <x v="6"/>
    <x v="6"/>
    <x v="4"/>
    <x v="0"/>
    <n v="2"/>
    <n v="2"/>
    <x v="0"/>
  </r>
  <r>
    <x v="1"/>
    <x v="3"/>
    <x v="7"/>
    <x v="7"/>
    <x v="0"/>
    <x v="0"/>
    <n v="2"/>
    <n v="2"/>
    <x v="0"/>
  </r>
  <r>
    <x v="1"/>
    <x v="3"/>
    <x v="8"/>
    <x v="8"/>
    <x v="5"/>
    <x v="0"/>
    <n v="2"/>
    <n v="2"/>
    <x v="0"/>
  </r>
  <r>
    <x v="1"/>
    <x v="3"/>
    <x v="9"/>
    <x v="9"/>
    <x v="0"/>
    <x v="0"/>
    <n v="12"/>
    <n v="4"/>
    <x v="0"/>
  </r>
  <r>
    <x v="1"/>
    <x v="4"/>
    <x v="10"/>
    <x v="10"/>
    <x v="6"/>
    <x v="0"/>
    <n v="4"/>
    <n v="4"/>
    <x v="0"/>
  </r>
  <r>
    <x v="1"/>
    <x v="4"/>
    <x v="11"/>
    <x v="11"/>
    <x v="0"/>
    <x v="0"/>
    <n v="12"/>
    <n v="4"/>
    <x v="0"/>
  </r>
  <r>
    <x v="1"/>
    <x v="5"/>
    <x v="12"/>
    <x v="12"/>
    <x v="5"/>
    <x v="0"/>
    <n v="25"/>
    <n v="15"/>
    <x v="0"/>
  </r>
  <r>
    <x v="1"/>
    <x v="5"/>
    <x v="13"/>
    <x v="13"/>
    <x v="0"/>
    <x v="0"/>
    <n v="25"/>
    <n v="5"/>
    <x v="0"/>
  </r>
  <r>
    <x v="2"/>
    <x v="6"/>
    <x v="14"/>
    <x v="14"/>
    <x v="0"/>
    <x v="0"/>
    <n v="20"/>
    <n v="6"/>
    <x v="0"/>
  </r>
  <r>
    <x v="2"/>
    <x v="7"/>
    <x v="15"/>
    <x v="15"/>
    <x v="0"/>
    <x v="0"/>
    <n v="20"/>
    <n v="6"/>
    <x v="0"/>
  </r>
  <r>
    <x v="2"/>
    <x v="7"/>
    <x v="16"/>
    <x v="16"/>
    <x v="0"/>
    <x v="0"/>
    <n v="10"/>
    <n v="4"/>
    <x v="0"/>
  </r>
  <r>
    <x v="2"/>
    <x v="8"/>
    <x v="17"/>
    <x v="17"/>
    <x v="0"/>
    <x v="0"/>
    <n v="10"/>
    <n v="2"/>
    <x v="0"/>
  </r>
  <r>
    <x v="2"/>
    <x v="8"/>
    <x v="18"/>
    <x v="18"/>
    <x v="0"/>
    <x v="0"/>
    <n v="2"/>
    <n v="1"/>
    <x v="0"/>
  </r>
  <r>
    <x v="2"/>
    <x v="8"/>
    <x v="19"/>
    <x v="19"/>
    <x v="0"/>
    <x v="0"/>
    <n v="20"/>
    <n v="4"/>
    <x v="0"/>
  </r>
  <r>
    <x v="3"/>
    <x v="9"/>
    <x v="20"/>
    <x v="20"/>
    <x v="7"/>
    <x v="1"/>
    <n v="10"/>
    <n v="2"/>
    <x v="2"/>
  </r>
  <r>
    <x v="3"/>
    <x v="9"/>
    <x v="21"/>
    <x v="21"/>
    <x v="8"/>
    <x v="1"/>
    <n v="10"/>
    <n v="4"/>
    <x v="2"/>
  </r>
  <r>
    <x v="3"/>
    <x v="10"/>
    <x v="22"/>
    <x v="22"/>
    <x v="7"/>
    <x v="0"/>
    <n v="10"/>
    <n v="10"/>
    <x v="3"/>
  </r>
  <r>
    <x v="3"/>
    <x v="10"/>
    <x v="23"/>
    <x v="23"/>
    <x v="7"/>
    <x v="0"/>
    <n v="2"/>
    <n v="2"/>
    <x v="3"/>
  </r>
  <r>
    <x v="3"/>
    <x v="10"/>
    <x v="24"/>
    <x v="24"/>
    <x v="8"/>
    <x v="0"/>
    <n v="10"/>
    <n v="4"/>
    <x v="3"/>
  </r>
  <r>
    <x v="4"/>
    <x v="11"/>
    <x v="25"/>
    <x v="25"/>
    <x v="9"/>
    <x v="0"/>
    <n v="2"/>
    <n v="100"/>
    <x v="0"/>
  </r>
  <r>
    <x v="4"/>
    <x v="11"/>
    <x v="26"/>
    <x v="26"/>
    <x v="10"/>
    <x v="0"/>
    <n v="2"/>
    <n v="4"/>
    <x v="0"/>
  </r>
  <r>
    <x v="5"/>
    <x v="12"/>
    <x v="27"/>
    <x v="27"/>
    <x v="11"/>
    <x v="0"/>
    <n v="5"/>
    <n v="2"/>
    <x v="0"/>
  </r>
  <r>
    <x v="5"/>
    <x v="12"/>
    <x v="28"/>
    <x v="28"/>
    <x v="9"/>
    <x v="1"/>
    <n v="10"/>
    <n v="4"/>
    <x v="2"/>
  </r>
  <r>
    <x v="5"/>
    <x v="12"/>
    <x v="29"/>
    <x v="29"/>
    <x v="12"/>
    <x v="1"/>
    <n v="10"/>
    <n v="2"/>
    <x v="2"/>
  </r>
  <r>
    <x v="6"/>
    <x v="13"/>
    <x v="30"/>
    <x v="30"/>
    <x v="6"/>
    <x v="0"/>
    <n v="2"/>
    <n v="2"/>
    <x v="0"/>
  </r>
  <r>
    <x v="6"/>
    <x v="13"/>
    <x v="31"/>
    <x v="31"/>
    <x v="13"/>
    <x v="0"/>
    <n v="2"/>
    <n v="2"/>
    <x v="0"/>
  </r>
  <r>
    <x v="6"/>
    <x v="14"/>
    <x v="32"/>
    <x v="32"/>
    <x v="12"/>
    <x v="1"/>
    <n v="2"/>
    <n v="2"/>
    <x v="4"/>
  </r>
  <r>
    <x v="6"/>
    <x v="14"/>
    <x v="33"/>
    <x v="33"/>
    <x v="0"/>
    <x v="0"/>
    <n v="10"/>
    <n v="4"/>
    <x v="0"/>
  </r>
  <r>
    <x v="6"/>
    <x v="15"/>
    <x v="34"/>
    <x v="34"/>
    <x v="14"/>
    <x v="1"/>
    <n v="2"/>
    <n v="2"/>
    <x v="4"/>
  </r>
  <r>
    <x v="6"/>
    <x v="15"/>
    <x v="35"/>
    <x v="35"/>
    <x v="0"/>
    <x v="1"/>
    <n v="20"/>
    <n v="8"/>
    <x v="2"/>
  </r>
  <r>
    <x v="6"/>
    <x v="15"/>
    <x v="36"/>
    <x v="36"/>
    <x v="0"/>
    <x v="1"/>
    <n v="20"/>
    <n v="10"/>
    <x v="5"/>
  </r>
  <r>
    <x v="6"/>
    <x v="15"/>
    <x v="37"/>
    <x v="37"/>
    <x v="0"/>
    <x v="1"/>
    <n v="20"/>
    <n v="10"/>
    <x v="5"/>
  </r>
  <r>
    <x v="6"/>
    <x v="15"/>
    <x v="38"/>
    <x v="38"/>
    <x v="0"/>
    <x v="1"/>
    <n v="20"/>
    <n v="10"/>
    <x v="2"/>
  </r>
  <r>
    <x v="7"/>
    <x v="16"/>
    <x v="39"/>
    <x v="39"/>
    <x v="15"/>
    <x v="1"/>
    <n v="10"/>
    <n v="4"/>
    <x v="6"/>
  </r>
  <r>
    <x v="7"/>
    <x v="16"/>
    <x v="40"/>
    <x v="40"/>
    <x v="16"/>
    <x v="0"/>
    <n v="2"/>
    <n v="2"/>
    <x v="0"/>
  </r>
  <r>
    <x v="7"/>
    <x v="17"/>
    <x v="41"/>
    <x v="41"/>
    <x v="12"/>
    <x v="0"/>
    <n v="2"/>
    <n v="2"/>
    <x v="0"/>
  </r>
  <r>
    <x v="7"/>
    <x v="17"/>
    <x v="42"/>
    <x v="42"/>
    <x v="0"/>
    <x v="0"/>
    <n v="10"/>
    <n v="2"/>
    <x v="0"/>
  </r>
  <r>
    <x v="7"/>
    <x v="17"/>
    <x v="43"/>
    <x v="43"/>
    <x v="17"/>
    <x v="0"/>
    <n v="2"/>
    <n v="2"/>
    <x v="0"/>
  </r>
  <r>
    <x v="8"/>
    <x v="18"/>
    <x v="44"/>
    <x v="44"/>
    <x v="18"/>
    <x v="1"/>
    <n v="20"/>
    <n v="10"/>
    <x v="4"/>
  </r>
  <r>
    <x v="8"/>
    <x v="18"/>
    <x v="45"/>
    <x v="45"/>
    <x v="18"/>
    <x v="1"/>
    <n v="20"/>
    <n v="10"/>
    <x v="7"/>
  </r>
  <r>
    <x v="8"/>
    <x v="18"/>
    <x v="46"/>
    <x v="46"/>
    <x v="18"/>
    <x v="1"/>
    <n v="20"/>
    <n v="5"/>
    <x v="8"/>
  </r>
  <r>
    <x v="8"/>
    <x v="18"/>
    <x v="47"/>
    <x v="47"/>
    <x v="18"/>
    <x v="1"/>
    <n v="20"/>
    <n v="5"/>
    <x v="4"/>
  </r>
  <r>
    <x v="8"/>
    <x v="18"/>
    <x v="48"/>
    <x v="48"/>
    <x v="19"/>
    <x v="1"/>
    <n v="20"/>
    <n v="5"/>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1. GESTIÓN Y COMUNICACIÓN DEL PLAN DE IGUALDAD"/>
    <x v="0"/>
    <s v="1.1.1. Reunir al Grupo Motor del Plan (Asistencia Técnica de Igualdad y responsable de RR. HH.) una vez al mes, garantizando la coordinación técnica y la integración de la perspectiva de género en la gestión ordinaria."/>
    <s v="Nº de reuniones celebradas / Actas elaboradas / Participación registrada."/>
    <s v="RR. HH. / Asistencia Técnica de Igualdad"/>
    <s v="Anual"/>
    <n v="24"/>
    <n v="12"/>
    <s v="Anual"/>
  </r>
  <r>
    <s v="1. GESTIÓN Y COMUNICACIÓN DEL PLAN DE IGUALDAD"/>
    <x v="0"/>
    <s v="1.1.2. Convocar la Comisión de Seguimiento del Plan de Igualdad dos veces al año, para analizar avances y retos y aprobar los informes de planificación y seguimiento."/>
    <s v="Nº de reuniones celebradas / Actas aprobadas / Grado de cumplimiento del calendario."/>
    <s v="RR. HH. / Comisión de Seguimiento"/>
    <s v="Anual"/>
    <n v="20"/>
    <n v="10"/>
    <s v="Anual"/>
  </r>
  <r>
    <s v="1. GESTIÓN Y COMUNICACIÓN DEL PLAN DE IGUALDAD"/>
    <x v="1"/>
    <s v="1.2.1. Diseñar, elaborar y aprobar el Programa Operativo Anual de Igualdad con objetivos, medidas, acciones, responsables, indicadores y presupuesto."/>
    <s v="Programa operativo aprobado / Inclusión de indicadores y presupuesto / Acta de aprobación."/>
    <s v="RR. HH. / Asistencia Técnica de Igualdad / Dirección"/>
    <s v="Anual"/>
    <n v="10"/>
    <n v="4"/>
    <s v="Anual"/>
  </r>
  <r>
    <s v="1. GESTIÓN Y COMUNICACIÓN DEL PLAN DE IGUALDAD"/>
    <x v="1"/>
    <s v="1.2.2. Elaborar el informe anual de seguimiento y evaluación del Plan."/>
    <s v="Informe anual elaborado y presentado a la Comisión de Seguimiento / Incorporación de resultados cuantitativos y cualitativos."/>
    <s v="RR. HH. / Asistencia Técnica de Igualdad"/>
    <s v="Anual"/>
    <n v="40"/>
    <n v="4"/>
    <s v="Anual"/>
  </r>
  <r>
    <s v="1. GESTIÓN Y COMUNICACIÓN DEL PLAN DE IGUALDAD"/>
    <x v="1"/>
    <s v="1.2.3. Elaborar la memoria de evaluación final del III Plan para la Igualdad."/>
    <s v="Memoria final aprobada / Presentación pública interna realizada."/>
    <s v="RR. HH. / Asistencia Técnica de Igualdad / Comisión de Seguimiento"/>
    <s v="Puntual"/>
    <n v="100"/>
    <n v="10"/>
    <n v="2029"/>
  </r>
  <r>
    <s v="1. GESTIÓN Y COMUNICACIÓN DEL PLAN DE IGUALDAD"/>
    <x v="2"/>
    <s v="1.3.1. Enviar una comunicación institucional anual a toda la plantilla con un resumen de la planificación operativa y de los resultados del seguimiento y evaluación."/>
    <s v="Comunicación enviada / Porcentaje de personal receptor / Encuesta de conocimiento."/>
    <s v="RR. HH. / Asistencia Técnica de Igualdad / Dirección"/>
    <s v="Anual"/>
    <n v="2"/>
    <n v="2"/>
    <s v="Anual"/>
  </r>
  <r>
    <s v="1. GESTIÓN Y COMUNICACIÓN DEL PLAN DE IGUALDAD"/>
    <x v="2"/>
    <s v="1.3.2. Mantener el espacio en la intranet corporativa sobre igualdad que recoja el Plan vigente, los informes anuales, materiales formativos y noticias relevantes."/>
    <s v="Espacio creado y actualizado / Nº de visitas o descargas."/>
    <s v="RR. HH. / Asistencia Técnica de Igualdad / Unidad web"/>
    <s v="Anual"/>
    <n v="2"/>
    <n v="2"/>
    <s v="Anual"/>
  </r>
  <r>
    <s v="2. ACCESO Y PROMOCIÓN EN EL EMPLEO PÚBLICO"/>
    <x v="3"/>
    <s v="2.1.1. Incluir cláusulas de igualdad en las bases de todos los procesos (lenguaje no sexista, composición equilibrada, cláusula de desempate, valoración del tiempo de corresponsabilidad, protección de la maternidad, valoración de formación en igualdad)."/>
    <s v="% de procesos con cláusulas de igualdad / Tipología de cláusulas aplicadas."/>
    <s v="RR. HH. / Asistencia Técnica de Igualdad"/>
    <s v="Anual"/>
    <n v="2"/>
    <n v="2"/>
    <s v="Anual"/>
  </r>
  <r>
    <s v="2. ACCESO Y PROMOCIÓN EN EL EMPLEO PÚBLICO"/>
    <x v="3"/>
    <s v="2.1.2. Incorporar criterios de valoración específicos en igualdad, incluyendo conocimientos acreditados en igualdad y perspectiva de género en el ámbito tecnológico."/>
    <s v="Nº de procesos con criterios específicos en igualdad / Revisión anual de convocatorias."/>
    <s v="RR. HH. / Empresa seleccionadora / Asistencia Técnica de Igualdad"/>
    <s v="Anual"/>
    <n v="2"/>
    <n v="2"/>
    <s v="Anual"/>
  </r>
  <r>
    <s v="2. ACCESO Y PROMOCIÓN EN EL EMPLEO PÚBLICO"/>
    <x v="3"/>
    <s v="2.1.3. Aplicar la Evaluación de Impacto de Género (EIG) en los procesos de selección y promoción para adaptar los criterios de valoración a las desigualdades detectadas."/>
    <s v="Nº de EIG realizadas / Incorporación de ajustes derivados de la EIG."/>
    <s v="RR. HH. / Asistencia Técnica de Igualdad"/>
    <s v="Anual"/>
    <n v="12"/>
    <n v="4"/>
    <s v="Anual"/>
  </r>
  <r>
    <s v="2. ACCESO Y PROMOCIÓN EN EL EMPLEO PÚBLICO"/>
    <x v="4"/>
    <s v="2.2.1. Aplicar acciones positivas en nuevas vacantes de puestos de responsabilidad, seleccionando al sexo menos representado hasta alcanzar un 40% de presencia en todos los niveles de responsabilidad de CCASA."/>
    <s v="Nº de procesos con acción positiva aplicada / % de mujeres en puestos de responsabilidad."/>
    <s v="RR. HH. / Dirección / Asistencia Técnica de Igualdad"/>
    <s v="Anual"/>
    <n v="4"/>
    <n v="4"/>
    <s v="Anual"/>
  </r>
  <r>
    <s v="2. ACCESO Y PROMOCIÓN EN EL EMPLEO PÚBLICO"/>
    <x v="4"/>
    <s v="2.2.2. Reducir la segregación horizontal, aplicando acciones positivas en nuevas vacantes que consistan en seleccionar al sexo menos representado hasta alcanzar un 40% de presencia en todas las áreas de CCASA."/>
    <s v="Nº de nuevas vacantes identificadas."/>
    <s v="RR. HH. / Asistencia Técnica de Igualdad"/>
    <s v="Anual"/>
    <n v="12"/>
    <n v="4"/>
    <s v="Anual"/>
  </r>
  <r>
    <s v="2. ACCESO Y PROMOCIÓN EN EL EMPLEO PÚBLICO"/>
    <x v="5"/>
    <s v="2.3.1. Crear un grupo de trabajo permanente entre la empresa seleccionadora, RR. HH. y la Asistencia Técnica de Igualdad para revisar las bases y la fase de valoración de méritos, detectar sesgos y proponer mejoras. El grupo de trabajo estará integrado por la dirección de CCASA, representación sindical, de recursos humanos e igualdad."/>
    <s v="Grupo creado / Nº de reuniones realizadas / Recomendaciones aplicadas."/>
    <s v="RR. HH. / Empresa seleccionadora / Asistencia Técnica de Igualdad"/>
    <s v="Anual"/>
    <n v="25"/>
    <n v="15"/>
    <s v="Anual"/>
  </r>
  <r>
    <s v="2. ACCESO Y PROMOCIÓN EN EL EMPLEO PÚBLICO"/>
    <x v="5"/>
    <s v="2.3.2. Elaborar un informe anual de seguimiento y evaluación de los procesos de acceso y promoción con datos desagregados por sexo, tipo de proceso y resultados."/>
    <s v="Informe anual elaborado / Incorporación de propuestas en convocatorias siguientes."/>
    <s v="RR. HH. / Asistencia Técnica de Igualdad"/>
    <s v="Anual"/>
    <n v="25"/>
    <n v="5"/>
    <s v="Anual"/>
  </r>
  <r>
    <s v="3. FORMACIÓN Y CAPACITACIÓN CON PERSPECTIVA DE GÉNERO"/>
    <x v="6"/>
    <s v="3.1.1. Desarrollar una formación mixta anual dirigida a toda la plantilla con los siguientes módulos: 1) Legislación vigente en materia de igualdad. 2) Igualdad en la tecnología y entornos digitales. 3) Incorporación de la perspectiva de género en la gestión y en los proyectos tecnológicos. 4) Elaboración de Evaluaciones de Impacto de Género (EIG). Temas complementarios: comunicación inclusiva, prevención de la violencia digital, liderazgo igualitario."/>
    <s v="Nº de formaciones realizadas / Nº y perfil de participantes / Valoración media / Grado de aplicación práctica."/>
    <s v="RR. HH. / Asistencia Técnica de Igualdad"/>
    <s v="Anual"/>
    <n v="20"/>
    <n v="6"/>
    <s v="Anual"/>
  </r>
  <r>
    <s v="3. FORMACIÓN Y CAPACITACIÓN CON PERSPECTIVA DE GÉNERO"/>
    <x v="7"/>
    <s v="3.2.1. Ofrecer una formación anual dirigida a mujeres centrada en el empoderamiento profesional, el liderazgo y la gestión de la autoridad en entornos masculinizados."/>
    <s v="Nº de mujeres participantes / Valoración de la formación / Cambios percibidos en liderazgo y autoconfianza."/>
    <s v="RR. HH. / Asistencia Técnica de Igualdad"/>
    <s v="Anual"/>
    <n v="20"/>
    <n v="6"/>
    <s v="Anual"/>
  </r>
  <r>
    <s v="3. FORMACIÓN Y CAPACITACIÓN CON PERSPECTIVA DE GÉNERO"/>
    <x v="7"/>
    <s v="3.2.2. Realizar una formación anual dirigida a hombres sobre nuevas masculinidades, corresponsabilidad, prevención de la violencia machista y transformación de las dinámicas masculinizadas en los equipos."/>
    <s v="Nº de hombres participantes / Valoración de la formación / Nivel de sensibilización alcanzado."/>
    <s v="RR. HH. / Asistencia Técnica de Igualdad"/>
    <s v="Anual"/>
    <n v="10"/>
    <n v="4"/>
    <s v="Anual"/>
  </r>
  <r>
    <s v="3. FORMACIÓN Y CAPACITACIÓN CON PERSPECTIVA DE GÉNERO"/>
    <x v="8"/>
    <s v="3.3.1. Incorporar cláusulas de igualdad en todos los contratos, convenios o acuerdos relativos a formación externa, garantizando que los contenidos, metodologías y materiales incluyan la perspectiva de género y asegurar que la plataforma de formación inluya la perspectiva de género. "/>
    <s v="Nº de contratos o convenios con cláusulas / Evaluación de cumplimiento."/>
    <s v="RR. HH. / Asistencia Técnica de Igualdad"/>
    <s v="Anual"/>
    <n v="10"/>
    <n v="2"/>
    <s v="Anual"/>
  </r>
  <r>
    <s v="3. FORMACIÓN Y CAPACITACIÓN CON PERSPECTIVA DE GÉNERO"/>
    <x v="8"/>
    <s v="3.3.2. Solicitar a las entidades proveedoras un informe previo sobre los contenidos de la formación, indicando cómo se integra la perspectiva de género."/>
    <s v="Nº de informes previos recibidos / Grado de adecuación a las cláusulas."/>
    <s v="RR. HH. / Asistencia Técnica de Igualdad"/>
    <s v="Anual"/>
    <n v="2"/>
    <n v="1"/>
    <s v="Anual"/>
  </r>
  <r>
    <s v="3. FORMACIÓN Y CAPACITACIÓN CON PERSPECTIVA DE GÉNERO"/>
    <x v="8"/>
    <s v="3.3.3. Elaborar un informe anual sobre las formaciones externas realizadas, detallando contenidos, personas asistentes (desagregadas por sexo) y valoración del cumplimiento de las cláusulas de igualdad."/>
    <s v="Informe anual elaborado y presentado / Incorporación de mejoras en convocatorias posteriores."/>
    <s v="RR. HH. / Asistencia Técnica de Igualdad"/>
    <s v="Anual"/>
    <n v="20"/>
    <n v="4"/>
    <s v="Anual"/>
  </r>
  <r>
    <s v="4. SEGURIDAD Y SALUD LABORAL"/>
    <x v="9"/>
    <s v="4.1.1. Incorporar en la nueva contratación del servicio de prevención cláusulas que aseguren la disponibilidad de personal técnico con formación acreditada en igualdad y PRL con perspectiva de género, e incluyan la obligación de elaborar un nuevo Plan de Prevención con perspectiva de género. La Asistencia Técnica en Igualdad revisará los documentos elaborados y propondrá mejoras o ajustes."/>
    <s v="Inclusión de cláusulas en el contrato / Disponibilidad de personal especializado / Plan de Prevención elaborado y revisado."/>
    <s v="RR. HH. / Servicio de Prevención / Asistencia Técnica de Igualdad"/>
    <s v="Puntual"/>
    <n v="10"/>
    <n v="2"/>
    <n v="2027"/>
  </r>
  <r>
    <s v="4. SEGURIDAD Y SALUD LABORAL"/>
    <x v="9"/>
    <s v="4.1.2. Elaborar, en el marco del nuevo contrato de prevención, un Plan de Prevención con perspectiva de género, conforme al Decreto Legislativo 1/2023 y a las herramientas de Osalan."/>
    <s v="Plan de Prevención elaborado y aprobado / Incorporación de criterios de género en las evaluaciones de riesgo."/>
    <s v="Servicio de Prevención / RR. HH. / Asistencia Técnica de Igualdad"/>
    <s v="Puntual"/>
    <n v="10"/>
    <n v="4"/>
    <n v="2027"/>
  </r>
  <r>
    <s v="4. SEGURIDAD Y SALUD LABORAL"/>
    <x v="10"/>
    <s v="4.2.1. Establecer una planificación anual de trabajo conjunta entre RR. HH., la Asistencia Técnica de Igualdad y el Servicio de Prevención, con al menos dos reuniones anuales (una de planificación y otra de seguimiento)."/>
    <s v="Nº de reuniones realizadas / Actas elaboradas / Grado de cumplimiento de la planificación."/>
    <s v="RR. HH. / Servicio de Prevención / Asistencia Técnica de Igualdad"/>
    <s v="Anual"/>
    <n v="10"/>
    <n v="10"/>
    <s v="2027-2028"/>
  </r>
  <r>
    <s v="4. SEGURIDAD Y SALUD LABORAL"/>
    <x v="10"/>
    <s v="4.2.2. Incluir en las reuniones anuales de coordinación un apartado fijo sobre riesgos emergentes —teletrabajo, burnout, síndrome del impostor, violencia digital y discriminación algorítmica—, analizando su evolución y posibles medidas preventivas."/>
    <s v="Inclusión del punto en el orden del día / Nº de medidas propuestas o implementadas."/>
    <s v="RR. HH. / Servicio de Prevención / Asistencia Técnica de Igualdad"/>
    <s v="Anual"/>
    <n v="2"/>
    <n v="2"/>
    <s v="2027-2028"/>
  </r>
  <r>
    <s v="4. SEGURIDAD Y SALUD LABORAL"/>
    <x v="10"/>
    <s v="4.2.3. Elaborar un informe anual sobre seguridad y salud laboral con perspectiva de género, realizado por el Servicio de Prevención y revisado por la Asistencia Técnica de Igualdad."/>
    <s v="Informe elaborado / Observaciones incorporadas / Medidas de mejora adoptadas."/>
    <s v="Servicio de Prevención / RR. HH. / Asistencia Técnica de Igualdad"/>
    <s v="Anual"/>
    <n v="10"/>
    <n v="4"/>
    <s v="2027-2028"/>
  </r>
  <r>
    <s v="5. VALORACIÓN DE PUESTOS DE TRABAJO Y AUDITORÍA RETRIBUTIVA"/>
    <x v="11"/>
    <s v="5.1.1. Realizar anualmente la auditoría retributiva conforme al Real Decreto 902/2020 y a la herramienta oficial del Ministerio, incluyendo el análisis de brechas salariales, diferencias justificadas y no justificadas, y causas identificadas."/>
    <s v="Auditoría retributiva elaborada / Brecha salarial total / Cumplimiento de plazos legales."/>
    <s v="RR. HH. / Comisión de Igualdad / Asistencia Técnica de Igualdad"/>
    <s v="Anual"/>
    <n v="2"/>
    <n v="100"/>
    <s v="Anual"/>
  </r>
  <r>
    <s v="5. VALORACIÓN DE PUESTOS DE TRABAJO Y AUDITORÍA RETRIBUTIVA"/>
    <x v="11"/>
    <s v="5.1.2. Presentar los resultados de la auditoría retributiva a la plantilla mediante sesión informativa y/o difusión en la intranet, garantizando la transparencia y la comprensión del sistema retributivo."/>
    <s v="Sesión informativa realizada / Informe difundido / Porcentaje de plantilla asistente o receptora / Nivel de comprensión y satisfacción."/>
    <s v="RR. HH. / Dirección / Comisión de Igualdad / Asistencia Técnica de Igualdad"/>
    <s v="Anual"/>
    <n v="2"/>
    <n v="4"/>
    <s v="Anual"/>
  </r>
  <r>
    <s v="6. CONCILIACIÓN CORRESPONSABLE"/>
    <x v="12"/>
    <s v="6.1.1. Revisar y evaluar anualmente las medidas de conciliación y flexibilidad horaria, adaptándolas a las necesidades reales de la plantilla y a los cambios normativos y organizativos."/>
    <s v="Evaluación anual realizada / Informe de revisión elaborado / Actualización de medidas aprobada."/>
    <s v="RR. HH. / Asistencia Técnica de Igualdad / Comisión de Igualdad"/>
    <s v="Anual"/>
    <n v="5"/>
    <n v="2"/>
    <s v="Anual"/>
  </r>
  <r>
    <s v="6. CONCILIACIÓN CORRESPONSABLE"/>
    <x v="12"/>
    <s v="6.1.2. Elaborar y aplicar un cuestionario  de satisfacción sobre conciliación y corresponsabilidad, analizar los resultados y elaborar un informe interno con propuestas de mejora."/>
    <s v="Cuestionario realizado / Tasa de respuesta / Informe de resultados y propuestas aprobado."/>
    <s v="RR. HH. / Comisión de Igualdad / Asistencia Técnica de Igualdad"/>
    <s v="Puntual"/>
    <n v="10"/>
    <n v="4"/>
    <n v="2027"/>
  </r>
  <r>
    <s v="6. CONCILIACIÓN CORRESPONSABLE"/>
    <x v="12"/>
    <s v="6.1.3. Difundir a toda la plantilla las medidas de conciliación disponibles y los resultados de la evaluación y del cuestionario, mediante folleto o comunicación institucional."/>
    <s v="Folleto o comunicación elaborada / Porcentaje de plantilla receptora / Nivel de conocimiento detectado."/>
    <s v="RR. HH. / Unidad web / Asistencia Técnica de Igualdad"/>
    <s v="Puntual"/>
    <n v="10"/>
    <n v="2"/>
    <n v="2027"/>
  </r>
  <r>
    <s v="7. CULTURA ORGANIZACIONAL"/>
    <x v="13"/>
    <s v="7.1.1. Mantener la presencia del Plan de Igualdad en los canales internos y externos de comunicación corporativa (intranet, web, presentaciones institucionales, eventos, memorias), garantizando la actualización anual de sus contenidos y resultados."/>
    <s v="Nº de actualizaciones y publicaciones / Alcance y visualización en los canales / Percepción de la plantilla."/>
    <s v="RR. HH. / Dirección / Asistencia Técnica de Igualdad"/>
    <s v="Anual"/>
    <n v="2"/>
    <n v="2"/>
    <s v="Anual"/>
  </r>
  <r>
    <s v="7. CULTURA ORGANIZACIONAL"/>
    <x v="13"/>
    <s v="7.1.2. Incorporar mensajes institucionales sobre igualdad y diversidad en las comunicaciones públicas, ponencias técnicas y materiales corporativos."/>
    <s v="Nº de comunicaciones o actos con mensajes de igualdad / Visibilidad de la igualdad en materiales institucionales."/>
    <s v="Dirección / RR. HH."/>
    <s v="Anual"/>
    <n v="2"/>
    <n v="2"/>
    <s v="Anual"/>
  </r>
  <r>
    <s v="7. CULTURA ORGANIZACIONAL"/>
    <x v="14"/>
    <s v="7.2.1. Difundir el manual elaborado por la Diputación Foral de Álava sobre uso de un lenguaje inclusivo entre toda la plantilla, garantizando su accesibilidad a través de la intranet y su disponibilidad en todos los departamentos."/>
    <s v="Manual difundido / Nº de descargas o accesos / Nivel de conocimiento del personal."/>
    <s v="RR. HH. / Unidad web / Asistencia Técnica de Igualdad"/>
    <s v="Puntual"/>
    <n v="2"/>
    <n v="2"/>
    <n v="2026"/>
  </r>
  <r>
    <s v="7. CULTURA ORGANIZACIONAL"/>
    <x v="14"/>
    <s v="7.2.2. Realizar una acción formativa dirigida a toda la plantilla para comunicar los contenidos del manual y facilitar su aplicación práctica en la redacción de documentos, correos electrónicos y comunicaciones técnicas."/>
    <s v="Nº de sesiones formativas / Nº de participantes / Valoración media de la formación."/>
    <s v="RR. HH. / Asistencia Técnica de Igualdad"/>
    <s v="Anual"/>
    <n v="10"/>
    <n v="4"/>
    <s v="Anual"/>
  </r>
  <r>
    <s v="7. CULTURA ORGANIZACIONAL"/>
    <x v="15"/>
    <s v="7.3.1. Contratar a una persona experta en cultura organizacional pro igualdad para acompañar el diseño e implementación de acciones de cambio cultural."/>
    <s v="Contratación realizada / Plan de trabajo definido / Medidas implementadas."/>
    <s v="Dirección / RR. HH. / Asistencia Técnica de Igualdad"/>
    <s v="Puntual"/>
    <n v="2"/>
    <n v="2"/>
    <n v="2026"/>
  </r>
  <r>
    <s v="7. CULTURA ORGANIZACIONAL"/>
    <x v="15"/>
    <s v="7.3.2. Desarrollar formación en liderazgo para la igualdad y con perspectiva de género dirigida a mandos intermedios, responsables de área y personal directivo."/>
    <s v="Nº de formaciones realizadas / Nº de participantes / Cambios en prácticas de liderazgo."/>
    <s v="RR. HH. / Asistencia Técnica de Igualdad"/>
    <s v="Puntual"/>
    <n v="20"/>
    <n v="8"/>
    <n v="2027"/>
  </r>
  <r>
    <s v="7. CULTURA ORGANIZACIONAL"/>
    <x v="15"/>
    <s v="7.3.3. Poner en marcha una acción formativa o programa de mentoring para promover el liderazgo y la visibilidad de las mujeres en el ámbito tecnológico y en la organización."/>
    <s v="Programa o formación implementada / Nº de mujeres participantes / Valoración de impacto."/>
    <s v="RR. HH. / Asistencia Técnica de Igualdad"/>
    <s v="Puntual"/>
    <n v="20"/>
    <n v="10"/>
    <n v="2028"/>
  </r>
  <r>
    <s v="7. CULTURA ORGANIZACIONAL"/>
    <x v="15"/>
    <s v="7.3.4. Realizar una formación específica sobre cultura organizacional pro equidad, centrada en valores, dinámicas y prácticas laborales igualitarias."/>
    <s v="Nº de formaciones realizadas / Valoración media / Aplicación práctica observada."/>
    <s v="RR. HH. / Asistencia Técnica de Igualdad"/>
    <s v="Puntual"/>
    <n v="20"/>
    <n v="10"/>
    <n v="2028"/>
  </r>
  <r>
    <s v="7. CULTURA ORGANIZACIONAL"/>
    <x v="15"/>
    <s v="7.3.5. Diseñar los contenidos en materia de igualdad a incorporar en el manual de acogida de las personas trabajadoras, asegurando que reflejen los compromisos, medidas y procedimientos del Plan de Igualdad."/>
    <s v="Contenidos diseñados e integrados / Manual actualizado / Porcentaje de nuevas incorporaciones que lo reciben."/>
    <s v="RR. HH. / Asistencia Técnica de Igualdad"/>
    <s v="Puntual"/>
    <n v="20"/>
    <n v="10"/>
    <n v="2027"/>
  </r>
  <r>
    <s v="8. VIOLENCIA MACHISTA, ACOSO SEXUAL Y ACOSO POR RAZÓN DE SEXO"/>
    <x v="16"/>
    <s v="8.1.1. Impulsar la revisión del convenio colectivo para adecuar el artículo 27 a la definición de violencia machista del Decreto Legislativo 1/2023, incorporando medios de acreditación ampliados y lenguaje no sexista."/>
    <s v="Inclusión de la revisión en la negociación colectiva / Artículo 27 modificado / Incorporación del nuevo enfoque legal."/>
    <s v="Dirección / RR. HH. / Comité de Empresa / Asistencia Técnica de Igualdad"/>
    <s v="Puntual"/>
    <n v="10"/>
    <n v="4"/>
    <s v="por definir"/>
  </r>
  <r>
    <s v="8. VIOLENCIA MACHISTA, ACOSO SEXUAL Y ACOSO POR RAZÓN DE SEXO"/>
    <x v="16"/>
    <s v="8.1.2. Mantener la inclusión de cláusulas de igualdad en la contratación externa, exigiendo protocolos propios frente al acoso sexual y por razón de sexo, y realizar seguimiento de su cumplimiento."/>
    <s v="Nº de contratos con cláusulas / Nº de verificaciones realizadas / Cumplimiento de la exigencia."/>
    <s v="RR. HH. / Asistencia Técnica de Igualdad / Servicio Jurídico"/>
    <s v="Anual"/>
    <n v="2"/>
    <n v="2"/>
    <s v="Anual"/>
  </r>
  <r>
    <s v="8. VIOLENCIA MACHISTA, ACOSO SEXUAL Y ACOSO POR RAZÓN DE SEXO"/>
    <x v="17"/>
    <s v="8.2.1. Difundir anualmente, con motivo del 25N, el Protocolo de actuación frente al acoso sexual y por razón de sexo, recordando los canales de denuncia y las garantías de confidencialidad."/>
    <s v="Comunicación institucional difundida / Porcentaje de plantilla receptora / Nivel de conocimiento detectado."/>
    <s v="RR. HH. / Unidad web / Asistencia Técnica de Igualdad"/>
    <s v="Anual"/>
    <n v="2"/>
    <n v="2"/>
    <s v="Anual"/>
  </r>
  <r>
    <s v="8. VIOLENCIA MACHISTA, ACOSO SEXUAL Y ACOSO POR RAZÓN DE SEXO"/>
    <x v="17"/>
    <s v="8.2.2. Realizar una formación anual con motivo del 25N sobre violencia machista en el ámbito laboral y tecnológico (violencia digital, ciberacoso, micromachismos, responsabilidad institucional, etc.)."/>
    <s v="Nº de formaciones realizadas / Nº de participantes / Valoración media."/>
    <s v="RR. HH. / Asistencia Técnica de Igualdad"/>
    <s v="Anual"/>
    <n v="10"/>
    <n v="2"/>
    <s v="Anual"/>
  </r>
  <r>
    <s v="8. VIOLENCIA MACHISTA, ACOSO SEXUAL Y ACOSO POR RAZÓN DE SEXO"/>
    <x v="17"/>
    <s v="8.2.3. Incluir mensajes institucionales de tolerancia cero ante la violencia machista en las comunicaciones públicas y campañas internas de CCASA."/>
    <s v="Nº de mensajes o campañas difundidas / Alcance estimado / Valoración de impacto."/>
    <s v="Dirección / Unidad web / Asistencia Técnica de Igualdad"/>
    <s v="Anual"/>
    <n v="2"/>
    <n v="2"/>
    <s v="Anual"/>
  </r>
  <r>
    <s v="9. PRODUCTOS Y SERVICIOS CON PERSPECTIVA DE GÉNERO"/>
    <x v="18"/>
    <s v="9.1.1. Participar en el proyecto de diagnóstico del cumplimiento del artículo 17 de la Ley Orgánica 3/2007, liderando internamente la identificación de todas las aplicaciones y bases de dato, proyectos y programas que s que gestionan información de personas, determinando cuáles recogen la variable sexo y cuáles deben adaptarse. • Fase 1: identificar proyectos programas aplicaciones o productos de CCASA . • Fase 2: priorizar por impacto y riesgo. • Fase 3: elaborar un cronograma factible en función de los recursos del Centro de Cálculo."/>
    <s v="Diagnóstico realizado / Aplicaciones inventariadas / Cronograma aprobado."/>
    <s v="Dirección / Unidad de Estrategia de Datos / Asistencia Técnica de Igualdad"/>
    <s v="Puntual"/>
    <n v="20"/>
    <n v="10"/>
    <n v="2026"/>
  </r>
  <r>
    <s v="9. PRODUCTOS Y SERVICIOS CON PERSPECTIVA DE GÉNERO"/>
    <x v="18"/>
    <s v="9.1.2.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y coordinar el servicio de igualdad con la Unidad de Estrategia del Dato. "/>
    <s v="Variable sexo incorporada en el modelo de datos / Proyectos piloto asesorados / Requisitos de igualdad integrados."/>
    <s v="Dirección / Unidad de Estrategia de Datos / Asistencia Técnica de Igualdad"/>
    <s v="Puntual"/>
    <n v="20"/>
    <n v="10"/>
    <s v="2026-208"/>
  </r>
  <r>
    <s v="9. PRODUCTOS Y SERVICIOS CON PERSPECTIVA DE GÉNERO"/>
    <x v="18"/>
    <s v="9.1.3. Coordinar con las áreas de la Diputación la financiación y el desarrollo de las adaptaciones informáticas necesarias para garantizar la desagregación por sexo en las herramientas de análisis y en los proyectos piloto."/>
    <s v="Nº de áreas coordinadas / Nº de adaptaciones realizadas / Cumplimiento de cronograma."/>
    <s v="Dirección / Unidad de Estrategia de Datos / Asistencia Técnica de Igualdad"/>
    <s v="Puntual"/>
    <n v="20"/>
    <n v="5"/>
    <s v="2026-2028"/>
  </r>
  <r>
    <s v="9. PRODUCTOS Y SERVICIOS CON PERSPECTIVA DE GÉNERO"/>
    <x v="18"/>
    <s v="9.1.4. Automatizar la explotación de datos desagregados por sexo en las herramientas de géstión municipal y dar acceso a la información desagregada a las entidades y personas usuarias."/>
    <m/>
    <s v="Dirección / Unidad de Estrategia de Datos / Asistencia Técnica de Igualdad"/>
    <s v="Puntual"/>
    <n v="20"/>
    <n v="5"/>
    <n v="2026"/>
  </r>
  <r>
    <s v="9. PRODUCTOS Y SERVICIOS CON PERSPECTIVA DE GÉNERO"/>
    <x v="18"/>
    <s v="9.1.5 .Establecer la obligación de que los nuevos proyectos que aborde CCASA incluyan la perspectiva de género. "/>
    <s v="Nº de proyectos revisados / Cumplimiento de criterios de género en interfaces."/>
    <s v="Dirección de Proyectos / Asistencia Técnica de Igualdad"/>
    <s v="Puntual"/>
    <n v="20"/>
    <n v="5"/>
    <s v="2027-2028"/>
  </r>
  <r>
    <s v=" Aplicar a partir de marzo "/>
    <x v="19"/>
    <m/>
    <m/>
    <m/>
    <m/>
    <n v="657"/>
    <m/>
    <m/>
  </r>
  <r>
    <m/>
    <x v="19"/>
    <m/>
    <m/>
    <m/>
    <m/>
    <m/>
    <s v=" "/>
    <m/>
  </r>
  <r>
    <m/>
    <x v="19"/>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2348E-3921-4A05-9F2F-7162B100C16C}" name="TablaDinámica1" cacheId="2"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location ref="A3:D80" firstHeaderRow="1" firstDataRow="1" firstDataCol="4"/>
  <pivotFields count="9">
    <pivotField axis="axisRow" showAll="0" defaultSubtotal="0">
      <items count="9">
        <item x="0"/>
        <item x="1"/>
        <item x="2"/>
        <item x="3"/>
        <item x="4"/>
        <item x="5"/>
        <item x="6"/>
        <item x="7"/>
        <item x="8"/>
      </items>
    </pivotField>
    <pivotField axis="axisRow" showAll="0" defaultSubtotal="0">
      <items count="20">
        <item x="0"/>
        <item x="1"/>
        <item x="2"/>
        <item x="3"/>
        <item x="4"/>
        <item x="5"/>
        <item x="6"/>
        <item x="7"/>
        <item x="8"/>
        <item x="9"/>
        <item x="10"/>
        <item x="11"/>
        <item x="12"/>
        <item x="13"/>
        <item x="14"/>
        <item x="15"/>
        <item x="16"/>
        <item x="17"/>
        <item x="18"/>
        <item m="1" x="19"/>
      </items>
    </pivotField>
    <pivotField axis="axisRow" outline="0" showAll="0" defaultSubtotal="0">
      <items count="56">
        <item x="0"/>
        <item x="1"/>
        <item x="2"/>
        <item x="3"/>
        <item x="4"/>
        <item x="5"/>
        <item x="6"/>
        <item m="1" x="49"/>
        <item x="7"/>
        <item x="8"/>
        <item x="9"/>
        <item x="10"/>
        <item x="11"/>
        <item x="12"/>
        <item x="13"/>
        <item x="14"/>
        <item sd="0" x="15"/>
        <item x="16"/>
        <item m="1" x="50"/>
        <item x="18"/>
        <item x="19"/>
        <item x="20"/>
        <item x="21"/>
        <item sd="0" x="22"/>
        <item x="23"/>
        <item x="24"/>
        <item x="25"/>
        <item x="26"/>
        <item x="27"/>
        <item m="1" x="51"/>
        <item x="29"/>
        <item x="30"/>
        <item x="31"/>
        <item x="32"/>
        <item x="33"/>
        <item x="34"/>
        <item x="35"/>
        <item x="36"/>
        <item x="37"/>
        <item x="38"/>
        <item x="39"/>
        <item x="40"/>
        <item x="41"/>
        <item x="42"/>
        <item x="43"/>
        <item m="1" x="52"/>
        <item m="1" x="53"/>
        <item x="46"/>
        <item m="1" x="54"/>
        <item m="1" x="55"/>
        <item x="17"/>
        <item x="28"/>
        <item x="44"/>
        <item x="45"/>
        <item x="47"/>
        <item x="48"/>
      </items>
    </pivotField>
    <pivotField axis="axisRow" outline="0" showAll="0" defaultSubtotal="0">
      <items count="50">
        <item x="7"/>
        <item x="25"/>
        <item x="5"/>
        <item x="41"/>
        <item x="38"/>
        <item x="34"/>
        <item x="28"/>
        <item x="44"/>
        <item x="6"/>
        <item x="27"/>
        <item x="29"/>
        <item x="12"/>
        <item x="20"/>
        <item x="39"/>
        <item x="23"/>
        <item x="13"/>
        <item x="19"/>
        <item x="3"/>
        <item x="24"/>
        <item x="32"/>
        <item x="4"/>
        <item x="30"/>
        <item x="46"/>
        <item m="1" x="49"/>
        <item x="31"/>
        <item x="40"/>
        <item x="17"/>
        <item x="9"/>
        <item x="35"/>
        <item x="42"/>
        <item x="14"/>
        <item x="37"/>
        <item x="16"/>
        <item x="18"/>
        <item x="43"/>
        <item x="15"/>
        <item x="11"/>
        <item x="10"/>
        <item x="8"/>
        <item x="48"/>
        <item x="1"/>
        <item x="0"/>
        <item x="22"/>
        <item x="33"/>
        <item x="21"/>
        <item x="36"/>
        <item x="2"/>
        <item x="26"/>
        <item x="45"/>
        <item x="47"/>
      </items>
    </pivotField>
    <pivotField axis="axisRow" outline="0" showAll="0" defaultSubtotal="0">
      <items count="21">
        <item x="13"/>
        <item x="14"/>
        <item x="15"/>
        <item x="18"/>
        <item x="17"/>
        <item x="19"/>
        <item x="0"/>
        <item x="11"/>
        <item x="3"/>
        <item x="2"/>
        <item x="16"/>
        <item x="4"/>
        <item x="9"/>
        <item x="1"/>
        <item m="1" x="20"/>
        <item x="6"/>
        <item x="10"/>
        <item x="5"/>
        <item x="7"/>
        <item x="12"/>
        <item x="8"/>
      </items>
    </pivotField>
    <pivotField outline="0" showAll="0" defaultSubtotal="0">
      <items count="5">
        <item x="0"/>
        <item m="1" x="4"/>
        <item x="1"/>
        <item m="1" x="3"/>
        <item m="1" x="2"/>
      </items>
    </pivotField>
    <pivotField showAll="0" defaultSubtotal="0"/>
    <pivotField showAll="0" defaultSubtotal="0"/>
    <pivotField axis="axisRow" subtotalTop="0" showAll="0" defaultSubtotal="0">
      <items count="9">
        <item x="4"/>
        <item x="2"/>
        <item x="5"/>
        <item x="1"/>
        <item x="8"/>
        <item x="7"/>
        <item x="3"/>
        <item x="0"/>
        <item x="6"/>
      </items>
    </pivotField>
  </pivotFields>
  <rowFields count="6">
    <field x="0"/>
    <field x="1"/>
    <field x="2"/>
    <field x="3"/>
    <field x="4"/>
    <field x="8"/>
  </rowFields>
  <rowItems count="77">
    <i>
      <x/>
    </i>
    <i r="1">
      <x/>
    </i>
    <i r="2">
      <x/>
      <x v="41"/>
      <x v="6"/>
      <x v="7"/>
    </i>
    <i r="2">
      <x v="1"/>
      <x v="40"/>
      <x v="13"/>
      <x v="7"/>
    </i>
    <i r="1">
      <x v="1"/>
    </i>
    <i r="2">
      <x v="2"/>
      <x v="46"/>
      <x v="9"/>
      <x v="7"/>
    </i>
    <i r="2">
      <x v="3"/>
      <x v="17"/>
      <x v="6"/>
      <x v="7"/>
    </i>
    <i r="2">
      <x v="4"/>
      <x v="20"/>
      <x v="8"/>
      <x v="3"/>
    </i>
    <i r="1">
      <x v="2"/>
    </i>
    <i r="2">
      <x v="5"/>
      <x v="2"/>
      <x v="9"/>
      <x v="7"/>
    </i>
    <i r="2">
      <x v="6"/>
      <x v="8"/>
      <x v="11"/>
      <x v="7"/>
    </i>
    <i>
      <x v="1"/>
    </i>
    <i r="1">
      <x v="3"/>
    </i>
    <i r="2">
      <x v="8"/>
      <x/>
      <x v="6"/>
      <x v="7"/>
    </i>
    <i r="2">
      <x v="9"/>
      <x v="38"/>
      <x v="17"/>
      <x v="7"/>
    </i>
    <i r="2">
      <x v="10"/>
      <x v="27"/>
      <x v="6"/>
      <x v="7"/>
    </i>
    <i r="1">
      <x v="4"/>
    </i>
    <i r="2">
      <x v="11"/>
      <x v="37"/>
      <x v="15"/>
      <x v="7"/>
    </i>
    <i r="2">
      <x v="12"/>
      <x v="36"/>
      <x v="6"/>
      <x v="7"/>
    </i>
    <i r="1">
      <x v="5"/>
    </i>
    <i r="2">
      <x v="13"/>
      <x v="11"/>
      <x v="17"/>
      <x v="7"/>
    </i>
    <i r="2">
      <x v="14"/>
      <x v="15"/>
      <x v="6"/>
      <x v="7"/>
    </i>
    <i>
      <x v="2"/>
    </i>
    <i r="1">
      <x v="6"/>
    </i>
    <i r="2">
      <x v="15"/>
      <x v="30"/>
      <x v="6"/>
      <x v="7"/>
    </i>
    <i r="1">
      <x v="7"/>
    </i>
    <i r="2">
      <x v="16"/>
    </i>
    <i r="2">
      <x v="17"/>
      <x v="32"/>
      <x v="6"/>
      <x v="7"/>
    </i>
    <i r="1">
      <x v="8"/>
    </i>
    <i r="2">
      <x v="19"/>
      <x v="33"/>
      <x v="6"/>
      <x v="7"/>
    </i>
    <i r="2">
      <x v="20"/>
      <x v="16"/>
      <x v="6"/>
      <x v="7"/>
    </i>
    <i r="2">
      <x v="50"/>
      <x v="26"/>
      <x v="6"/>
      <x v="7"/>
    </i>
    <i>
      <x v="3"/>
    </i>
    <i r="1">
      <x v="9"/>
    </i>
    <i r="2">
      <x v="21"/>
      <x v="12"/>
      <x v="18"/>
      <x v="1"/>
    </i>
    <i r="2">
      <x v="22"/>
      <x v="44"/>
      <x v="20"/>
      <x v="1"/>
    </i>
    <i r="1">
      <x v="10"/>
    </i>
    <i r="2">
      <x v="23"/>
    </i>
    <i r="2">
      <x v="24"/>
      <x v="14"/>
      <x v="18"/>
      <x v="6"/>
    </i>
    <i r="2">
      <x v="25"/>
      <x v="18"/>
      <x v="20"/>
      <x v="6"/>
    </i>
    <i>
      <x v="4"/>
    </i>
    <i r="1">
      <x v="11"/>
    </i>
    <i r="2">
      <x v="26"/>
      <x v="1"/>
      <x v="12"/>
      <x v="7"/>
    </i>
    <i r="2">
      <x v="27"/>
      <x v="47"/>
      <x v="16"/>
      <x v="7"/>
    </i>
    <i>
      <x v="5"/>
    </i>
    <i r="1">
      <x v="12"/>
    </i>
    <i r="2">
      <x v="28"/>
      <x v="9"/>
      <x v="7"/>
      <x v="7"/>
    </i>
    <i r="2">
      <x v="30"/>
      <x v="10"/>
      <x v="19"/>
      <x v="1"/>
    </i>
    <i r="2">
      <x v="51"/>
      <x v="6"/>
      <x v="12"/>
      <x v="1"/>
    </i>
    <i>
      <x v="6"/>
    </i>
    <i r="1">
      <x v="13"/>
    </i>
    <i r="2">
      <x v="31"/>
      <x v="21"/>
      <x v="15"/>
      <x v="7"/>
    </i>
    <i r="2">
      <x v="32"/>
      <x v="24"/>
      <x/>
      <x v="7"/>
    </i>
    <i r="1">
      <x v="14"/>
    </i>
    <i r="2">
      <x v="33"/>
      <x v="19"/>
      <x v="19"/>
      <x/>
    </i>
    <i r="2">
      <x v="34"/>
      <x v="43"/>
      <x v="6"/>
      <x v="7"/>
    </i>
    <i r="1">
      <x v="15"/>
    </i>
    <i r="2">
      <x v="35"/>
      <x v="5"/>
      <x v="1"/>
      <x/>
    </i>
    <i r="2">
      <x v="36"/>
      <x v="28"/>
      <x v="6"/>
      <x v="1"/>
    </i>
    <i r="2">
      <x v="37"/>
      <x v="45"/>
      <x v="6"/>
      <x v="2"/>
    </i>
    <i r="2">
      <x v="38"/>
      <x v="31"/>
      <x v="6"/>
      <x v="2"/>
    </i>
    <i r="2">
      <x v="39"/>
      <x v="4"/>
      <x v="6"/>
      <x v="1"/>
    </i>
    <i>
      <x v="7"/>
    </i>
    <i r="1">
      <x v="16"/>
    </i>
    <i r="2">
      <x v="40"/>
      <x v="13"/>
      <x v="2"/>
      <x v="8"/>
    </i>
    <i r="2">
      <x v="41"/>
      <x v="25"/>
      <x v="10"/>
      <x v="7"/>
    </i>
    <i r="1">
      <x v="17"/>
    </i>
    <i r="2">
      <x v="42"/>
      <x v="3"/>
      <x v="19"/>
      <x v="7"/>
    </i>
    <i r="2">
      <x v="43"/>
      <x v="29"/>
      <x v="6"/>
      <x v="7"/>
    </i>
    <i r="2">
      <x v="44"/>
      <x v="34"/>
      <x v="4"/>
      <x v="7"/>
    </i>
    <i>
      <x v="8"/>
    </i>
    <i r="1">
      <x v="18"/>
    </i>
    <i r="2">
      <x v="47"/>
      <x v="22"/>
      <x v="3"/>
      <x v="4"/>
    </i>
    <i r="2">
      <x v="52"/>
      <x v="7"/>
      <x v="3"/>
      <x/>
    </i>
    <i r="2">
      <x v="53"/>
      <x v="48"/>
      <x v="3"/>
      <x v="5"/>
    </i>
    <i r="2">
      <x v="54"/>
      <x v="49"/>
      <x v="3"/>
      <x/>
    </i>
    <i r="2">
      <x v="55"/>
      <x v="39"/>
      <x v="5"/>
      <x v="6"/>
    </i>
  </rowItems>
  <colItems count="1">
    <i/>
  </colItems>
  <formats count="320">
    <format dxfId="319">
      <pivotArea type="all" dataOnly="0" outline="0" fieldPosition="0"/>
    </format>
    <format dxfId="318">
      <pivotArea field="0" type="button" dataOnly="0" labelOnly="1" outline="0" axis="axisRow" fieldPosition="0"/>
    </format>
    <format dxfId="317">
      <pivotArea dataOnly="0" labelOnly="1" grandRow="1" outline="0" fieldPosition="0"/>
    </format>
    <format dxfId="316">
      <pivotArea type="all" dataOnly="0" outline="0" fieldPosition="0"/>
    </format>
    <format dxfId="315">
      <pivotArea field="0" type="button" dataOnly="0" labelOnly="1" outline="0" axis="axisRow" fieldPosition="0"/>
    </format>
    <format dxfId="314">
      <pivotArea field="3" type="button" dataOnly="0" labelOnly="1" outline="0" axis="axisRow" fieldPosition="3"/>
    </format>
    <format dxfId="313">
      <pivotArea field="4" type="button" dataOnly="0" labelOnly="1" outline="0" axis="axisRow" fieldPosition="4"/>
    </format>
    <format dxfId="312">
      <pivotArea field="5" type="button" dataOnly="0" labelOnly="1" outline="0"/>
    </format>
    <format dxfId="311">
      <pivotArea dataOnly="0" labelOnly="1" fieldPosition="0">
        <references count="1">
          <reference field="0" count="0"/>
        </references>
      </pivotArea>
    </format>
    <format dxfId="310">
      <pivotArea dataOnly="0" labelOnly="1" fieldPosition="0">
        <references count="2">
          <reference field="0" count="1" selected="0">
            <x v="0"/>
          </reference>
          <reference field="1" count="3">
            <x v="0"/>
            <x v="1"/>
            <x v="2"/>
          </reference>
        </references>
      </pivotArea>
    </format>
    <format dxfId="309">
      <pivotArea dataOnly="0" labelOnly="1" fieldPosition="0">
        <references count="2">
          <reference field="0" count="1" selected="0">
            <x v="1"/>
          </reference>
          <reference field="1" count="3">
            <x v="3"/>
            <x v="4"/>
            <x v="5"/>
          </reference>
        </references>
      </pivotArea>
    </format>
    <format dxfId="308">
      <pivotArea dataOnly="0" labelOnly="1" fieldPosition="0">
        <references count="2">
          <reference field="0" count="1" selected="0">
            <x v="2"/>
          </reference>
          <reference field="1" count="3">
            <x v="6"/>
            <x v="7"/>
            <x v="8"/>
          </reference>
        </references>
      </pivotArea>
    </format>
    <format dxfId="307">
      <pivotArea dataOnly="0" labelOnly="1" fieldPosition="0">
        <references count="2">
          <reference field="0" count="1" selected="0">
            <x v="3"/>
          </reference>
          <reference field="1" count="2">
            <x v="9"/>
            <x v="10"/>
          </reference>
        </references>
      </pivotArea>
    </format>
    <format dxfId="306">
      <pivotArea dataOnly="0" labelOnly="1" fieldPosition="0">
        <references count="2">
          <reference field="0" count="1" selected="0">
            <x v="4"/>
          </reference>
          <reference field="1" count="1">
            <x v="11"/>
          </reference>
        </references>
      </pivotArea>
    </format>
    <format dxfId="305">
      <pivotArea dataOnly="0" labelOnly="1" fieldPosition="0">
        <references count="2">
          <reference field="0" count="1" selected="0">
            <x v="5"/>
          </reference>
          <reference field="1" count="1">
            <x v="12"/>
          </reference>
        </references>
      </pivotArea>
    </format>
    <format dxfId="304">
      <pivotArea dataOnly="0" labelOnly="1" fieldPosition="0">
        <references count="2">
          <reference field="0" count="1" selected="0">
            <x v="6"/>
          </reference>
          <reference field="1" count="3">
            <x v="13"/>
            <x v="14"/>
            <x v="15"/>
          </reference>
        </references>
      </pivotArea>
    </format>
    <format dxfId="303">
      <pivotArea dataOnly="0" labelOnly="1" fieldPosition="0">
        <references count="2">
          <reference field="0" count="1" selected="0">
            <x v="7"/>
          </reference>
          <reference field="1" count="2">
            <x v="16"/>
            <x v="17"/>
          </reference>
        </references>
      </pivotArea>
    </format>
    <format dxfId="302">
      <pivotArea dataOnly="0" labelOnly="1" fieldPosition="0">
        <references count="2">
          <reference field="0" count="1" selected="0">
            <x v="8"/>
          </reference>
          <reference field="1" count="2">
            <x v="18"/>
            <x v="19"/>
          </reference>
        </references>
      </pivotArea>
    </format>
    <format dxfId="301">
      <pivotArea dataOnly="0" labelOnly="1" fieldPosition="0">
        <references count="3">
          <reference field="0" count="1" selected="0">
            <x v="0"/>
          </reference>
          <reference field="1" count="1" selected="0">
            <x v="0"/>
          </reference>
          <reference field="2" count="2">
            <x v="0"/>
            <x v="1"/>
          </reference>
        </references>
      </pivotArea>
    </format>
    <format dxfId="300">
      <pivotArea dataOnly="0" labelOnly="1" fieldPosition="0">
        <references count="3">
          <reference field="0" count="1" selected="0">
            <x v="0"/>
          </reference>
          <reference field="1" count="1" selected="0">
            <x v="1"/>
          </reference>
          <reference field="2" count="3">
            <x v="2"/>
            <x v="3"/>
            <x v="4"/>
          </reference>
        </references>
      </pivotArea>
    </format>
    <format dxfId="299">
      <pivotArea dataOnly="0" labelOnly="1" fieldPosition="0">
        <references count="3">
          <reference field="0" count="1" selected="0">
            <x v="0"/>
          </reference>
          <reference field="1" count="1" selected="0">
            <x v="2"/>
          </reference>
          <reference field="2" count="3">
            <x v="5"/>
            <x v="6"/>
            <x v="7"/>
          </reference>
        </references>
      </pivotArea>
    </format>
    <format dxfId="298">
      <pivotArea dataOnly="0" labelOnly="1" fieldPosition="0">
        <references count="3">
          <reference field="0" count="1" selected="0">
            <x v="1"/>
          </reference>
          <reference field="1" count="1" selected="0">
            <x v="3"/>
          </reference>
          <reference field="2" count="3">
            <x v="8"/>
            <x v="9"/>
            <x v="10"/>
          </reference>
        </references>
      </pivotArea>
    </format>
    <format dxfId="297">
      <pivotArea dataOnly="0" labelOnly="1" fieldPosition="0">
        <references count="3">
          <reference field="0" count="1" selected="0">
            <x v="1"/>
          </reference>
          <reference field="1" count="1" selected="0">
            <x v="4"/>
          </reference>
          <reference field="2" count="2">
            <x v="11"/>
            <x v="12"/>
          </reference>
        </references>
      </pivotArea>
    </format>
    <format dxfId="296">
      <pivotArea dataOnly="0" labelOnly="1" fieldPosition="0">
        <references count="3">
          <reference field="0" count="1" selected="0">
            <x v="1"/>
          </reference>
          <reference field="1" count="1" selected="0">
            <x v="5"/>
          </reference>
          <reference field="2" count="2">
            <x v="13"/>
            <x v="14"/>
          </reference>
        </references>
      </pivotArea>
    </format>
    <format dxfId="295">
      <pivotArea dataOnly="0" labelOnly="1" fieldPosition="0">
        <references count="3">
          <reference field="0" count="1" selected="0">
            <x v="2"/>
          </reference>
          <reference field="1" count="1" selected="0">
            <x v="6"/>
          </reference>
          <reference field="2" count="1">
            <x v="15"/>
          </reference>
        </references>
      </pivotArea>
    </format>
    <format dxfId="294">
      <pivotArea dataOnly="0" labelOnly="1" fieldPosition="0">
        <references count="3">
          <reference field="0" count="1" selected="0">
            <x v="2"/>
          </reference>
          <reference field="1" count="1" selected="0">
            <x v="7"/>
          </reference>
          <reference field="2" count="2">
            <x v="16"/>
            <x v="17"/>
          </reference>
        </references>
      </pivotArea>
    </format>
    <format dxfId="293">
      <pivotArea dataOnly="0" labelOnly="1" fieldPosition="0">
        <references count="3">
          <reference field="0" count="1" selected="0">
            <x v="2"/>
          </reference>
          <reference field="1" count="1" selected="0">
            <x v="8"/>
          </reference>
          <reference field="2" count="3">
            <x v="18"/>
            <x v="19"/>
            <x v="20"/>
          </reference>
        </references>
      </pivotArea>
    </format>
    <format dxfId="292">
      <pivotArea dataOnly="0" labelOnly="1" fieldPosition="0">
        <references count="3">
          <reference field="0" count="1" selected="0">
            <x v="3"/>
          </reference>
          <reference field="1" count="1" selected="0">
            <x v="9"/>
          </reference>
          <reference field="2" count="2">
            <x v="21"/>
            <x v="22"/>
          </reference>
        </references>
      </pivotArea>
    </format>
    <format dxfId="291">
      <pivotArea dataOnly="0" labelOnly="1" fieldPosition="0">
        <references count="3">
          <reference field="0" count="1" selected="0">
            <x v="3"/>
          </reference>
          <reference field="1" count="1" selected="0">
            <x v="10"/>
          </reference>
          <reference field="2" count="3">
            <x v="23"/>
            <x v="24"/>
            <x v="25"/>
          </reference>
        </references>
      </pivotArea>
    </format>
    <format dxfId="290">
      <pivotArea dataOnly="0" labelOnly="1" fieldPosition="0">
        <references count="3">
          <reference field="0" count="1" selected="0">
            <x v="4"/>
          </reference>
          <reference field="1" count="1" selected="0">
            <x v="11"/>
          </reference>
          <reference field="2" count="2">
            <x v="26"/>
            <x v="27"/>
          </reference>
        </references>
      </pivotArea>
    </format>
    <format dxfId="289">
      <pivotArea dataOnly="0" labelOnly="1" fieldPosition="0">
        <references count="3">
          <reference field="0" count="1" selected="0">
            <x v="5"/>
          </reference>
          <reference field="1" count="1" selected="0">
            <x v="12"/>
          </reference>
          <reference field="2" count="3">
            <x v="28"/>
            <x v="29"/>
            <x v="30"/>
          </reference>
        </references>
      </pivotArea>
    </format>
    <format dxfId="288">
      <pivotArea dataOnly="0" labelOnly="1" fieldPosition="0">
        <references count="3">
          <reference field="0" count="1" selected="0">
            <x v="6"/>
          </reference>
          <reference field="1" count="1" selected="0">
            <x v="13"/>
          </reference>
          <reference field="2" count="2">
            <x v="31"/>
            <x v="32"/>
          </reference>
        </references>
      </pivotArea>
    </format>
    <format dxfId="287">
      <pivotArea dataOnly="0" labelOnly="1" fieldPosition="0">
        <references count="3">
          <reference field="0" count="1" selected="0">
            <x v="6"/>
          </reference>
          <reference field="1" count="1" selected="0">
            <x v="14"/>
          </reference>
          <reference field="2" count="2">
            <x v="33"/>
            <x v="34"/>
          </reference>
        </references>
      </pivotArea>
    </format>
    <format dxfId="286">
      <pivotArea dataOnly="0" labelOnly="1" fieldPosition="0">
        <references count="3">
          <reference field="0" count="1" selected="0">
            <x v="6"/>
          </reference>
          <reference field="1" count="1" selected="0">
            <x v="15"/>
          </reference>
          <reference field="2" count="5">
            <x v="35"/>
            <x v="36"/>
            <x v="37"/>
            <x v="38"/>
            <x v="39"/>
          </reference>
        </references>
      </pivotArea>
    </format>
    <format dxfId="285">
      <pivotArea dataOnly="0" labelOnly="1" fieldPosition="0">
        <references count="3">
          <reference field="0" count="1" selected="0">
            <x v="7"/>
          </reference>
          <reference field="1" count="1" selected="0">
            <x v="16"/>
          </reference>
          <reference field="2" count="2">
            <x v="40"/>
            <x v="41"/>
          </reference>
        </references>
      </pivotArea>
    </format>
    <format dxfId="284">
      <pivotArea dataOnly="0" labelOnly="1" fieldPosition="0">
        <references count="3">
          <reference field="0" count="1" selected="0">
            <x v="7"/>
          </reference>
          <reference field="1" count="1" selected="0">
            <x v="17"/>
          </reference>
          <reference field="2" count="3">
            <x v="42"/>
            <x v="43"/>
            <x v="44"/>
          </reference>
        </references>
      </pivotArea>
    </format>
    <format dxfId="283">
      <pivotArea dataOnly="0" labelOnly="1" fieldPosition="0">
        <references count="3">
          <reference field="0" count="1" selected="0">
            <x v="8"/>
          </reference>
          <reference field="1" count="1" selected="0">
            <x v="18"/>
          </reference>
          <reference field="2" count="4">
            <x v="45"/>
            <x v="46"/>
            <x v="47"/>
            <x v="48"/>
          </reference>
        </references>
      </pivotArea>
    </format>
    <format dxfId="282">
      <pivotArea dataOnly="0" labelOnly="1" fieldPosition="0">
        <references count="3">
          <reference field="0" count="1" selected="0">
            <x v="8"/>
          </reference>
          <reference field="1" count="1" selected="0">
            <x v="19"/>
          </reference>
          <reference field="2" count="1">
            <x v="49"/>
          </reference>
        </references>
      </pivotArea>
    </format>
    <format dxfId="281">
      <pivotArea dataOnly="0" labelOnly="1" fieldPosition="0">
        <references count="4">
          <reference field="0" count="1" selected="0">
            <x v="0"/>
          </reference>
          <reference field="1" count="1" selected="0">
            <x v="0"/>
          </reference>
          <reference field="2" count="1" selected="0">
            <x v="0"/>
          </reference>
          <reference field="3" count="1">
            <x v="41"/>
          </reference>
        </references>
      </pivotArea>
    </format>
    <format dxfId="280">
      <pivotArea dataOnly="0" labelOnly="1" fieldPosition="0">
        <references count="4">
          <reference field="0" count="1" selected="0">
            <x v="0"/>
          </reference>
          <reference field="1" count="1" selected="0">
            <x v="0"/>
          </reference>
          <reference field="2" count="1" selected="0">
            <x v="1"/>
          </reference>
          <reference field="3" count="1">
            <x v="40"/>
          </reference>
        </references>
      </pivotArea>
    </format>
    <format dxfId="279">
      <pivotArea dataOnly="0" labelOnly="1" fieldPosition="0">
        <references count="4">
          <reference field="0" count="1" selected="0">
            <x v="0"/>
          </reference>
          <reference field="1" count="1" selected="0">
            <x v="1"/>
          </reference>
          <reference field="2" count="1" selected="0">
            <x v="2"/>
          </reference>
          <reference field="3" count="1">
            <x v="46"/>
          </reference>
        </references>
      </pivotArea>
    </format>
    <format dxfId="278">
      <pivotArea dataOnly="0" labelOnly="1" fieldPosition="0">
        <references count="4">
          <reference field="0" count="1" selected="0">
            <x v="0"/>
          </reference>
          <reference field="1" count="1" selected="0">
            <x v="1"/>
          </reference>
          <reference field="2" count="1" selected="0">
            <x v="3"/>
          </reference>
          <reference field="3" count="1">
            <x v="17"/>
          </reference>
        </references>
      </pivotArea>
    </format>
    <format dxfId="277">
      <pivotArea dataOnly="0" labelOnly="1" fieldPosition="0">
        <references count="4">
          <reference field="0" count="1" selected="0">
            <x v="0"/>
          </reference>
          <reference field="1" count="1" selected="0">
            <x v="1"/>
          </reference>
          <reference field="2" count="1" selected="0">
            <x v="4"/>
          </reference>
          <reference field="3" count="1">
            <x v="20"/>
          </reference>
        </references>
      </pivotArea>
    </format>
    <format dxfId="276">
      <pivotArea dataOnly="0" labelOnly="1" fieldPosition="0">
        <references count="4">
          <reference field="0" count="1" selected="0">
            <x v="0"/>
          </reference>
          <reference field="1" count="1" selected="0">
            <x v="2"/>
          </reference>
          <reference field="2" count="1" selected="0">
            <x v="5"/>
          </reference>
          <reference field="3" count="1">
            <x v="2"/>
          </reference>
        </references>
      </pivotArea>
    </format>
    <format dxfId="275">
      <pivotArea dataOnly="0" labelOnly="1" fieldPosition="0">
        <references count="4">
          <reference field="0" count="1" selected="0">
            <x v="0"/>
          </reference>
          <reference field="1" count="1" selected="0">
            <x v="2"/>
          </reference>
          <reference field="2" count="1" selected="0">
            <x v="6"/>
          </reference>
          <reference field="3" count="1">
            <x v="8"/>
          </reference>
        </references>
      </pivotArea>
    </format>
    <format dxfId="274">
      <pivotArea dataOnly="0" labelOnly="1" fieldPosition="0">
        <references count="4">
          <reference field="0" count="1" selected="0">
            <x v="0"/>
          </reference>
          <reference field="1" count="1" selected="0">
            <x v="2"/>
          </reference>
          <reference field="2" count="1" selected="0">
            <x v="7"/>
          </reference>
          <reference field="3" count="1">
            <x v="23"/>
          </reference>
        </references>
      </pivotArea>
    </format>
    <format dxfId="273">
      <pivotArea dataOnly="0" labelOnly="1" fieldPosition="0">
        <references count="4">
          <reference field="0" count="1" selected="0">
            <x v="1"/>
          </reference>
          <reference field="1" count="1" selected="0">
            <x v="3"/>
          </reference>
          <reference field="2" count="1" selected="0">
            <x v="8"/>
          </reference>
          <reference field="3" count="1">
            <x v="0"/>
          </reference>
        </references>
      </pivotArea>
    </format>
    <format dxfId="272">
      <pivotArea dataOnly="0" labelOnly="1" fieldPosition="0">
        <references count="4">
          <reference field="0" count="1" selected="0">
            <x v="1"/>
          </reference>
          <reference field="1" count="1" selected="0">
            <x v="3"/>
          </reference>
          <reference field="2" count="1" selected="0">
            <x v="9"/>
          </reference>
          <reference field="3" count="1">
            <x v="38"/>
          </reference>
        </references>
      </pivotArea>
    </format>
    <format dxfId="271">
      <pivotArea dataOnly="0" labelOnly="1" fieldPosition="0">
        <references count="4">
          <reference field="0" count="1" selected="0">
            <x v="1"/>
          </reference>
          <reference field="1" count="1" selected="0">
            <x v="3"/>
          </reference>
          <reference field="2" count="1" selected="0">
            <x v="10"/>
          </reference>
          <reference field="3" count="1">
            <x v="27"/>
          </reference>
        </references>
      </pivotArea>
    </format>
    <format dxfId="270">
      <pivotArea dataOnly="0" labelOnly="1" fieldPosition="0">
        <references count="4">
          <reference field="0" count="1" selected="0">
            <x v="1"/>
          </reference>
          <reference field="1" count="1" selected="0">
            <x v="4"/>
          </reference>
          <reference field="2" count="1" selected="0">
            <x v="11"/>
          </reference>
          <reference field="3" count="1">
            <x v="37"/>
          </reference>
        </references>
      </pivotArea>
    </format>
    <format dxfId="269">
      <pivotArea dataOnly="0" labelOnly="1" fieldPosition="0">
        <references count="4">
          <reference field="0" count="1" selected="0">
            <x v="1"/>
          </reference>
          <reference field="1" count="1" selected="0">
            <x v="4"/>
          </reference>
          <reference field="2" count="1" selected="0">
            <x v="12"/>
          </reference>
          <reference field="3" count="1">
            <x v="36"/>
          </reference>
        </references>
      </pivotArea>
    </format>
    <format dxfId="268">
      <pivotArea dataOnly="0" labelOnly="1" fieldPosition="0">
        <references count="4">
          <reference field="0" count="1" selected="0">
            <x v="1"/>
          </reference>
          <reference field="1" count="1" selected="0">
            <x v="5"/>
          </reference>
          <reference field="2" count="1" selected="0">
            <x v="13"/>
          </reference>
          <reference field="3" count="1">
            <x v="11"/>
          </reference>
        </references>
      </pivotArea>
    </format>
    <format dxfId="267">
      <pivotArea dataOnly="0" labelOnly="1" fieldPosition="0">
        <references count="4">
          <reference field="0" count="1" selected="0">
            <x v="1"/>
          </reference>
          <reference field="1" count="1" selected="0">
            <x v="5"/>
          </reference>
          <reference field="2" count="1" selected="0">
            <x v="14"/>
          </reference>
          <reference field="3" count="1">
            <x v="15"/>
          </reference>
        </references>
      </pivotArea>
    </format>
    <format dxfId="266">
      <pivotArea dataOnly="0" labelOnly="1" fieldPosition="0">
        <references count="4">
          <reference field="0" count="1" selected="0">
            <x v="2"/>
          </reference>
          <reference field="1" count="1" selected="0">
            <x v="6"/>
          </reference>
          <reference field="2" count="1" selected="0">
            <x v="15"/>
          </reference>
          <reference field="3" count="1">
            <x v="30"/>
          </reference>
        </references>
      </pivotArea>
    </format>
    <format dxfId="265">
      <pivotArea dataOnly="0" labelOnly="1" fieldPosition="0">
        <references count="4">
          <reference field="0" count="1" selected="0">
            <x v="2"/>
          </reference>
          <reference field="1" count="1" selected="0">
            <x v="7"/>
          </reference>
          <reference field="2" count="1" selected="0">
            <x v="16"/>
          </reference>
          <reference field="3" count="1">
            <x v="35"/>
          </reference>
        </references>
      </pivotArea>
    </format>
    <format dxfId="264">
      <pivotArea dataOnly="0" labelOnly="1" fieldPosition="0">
        <references count="4">
          <reference field="0" count="1" selected="0">
            <x v="2"/>
          </reference>
          <reference field="1" count="1" selected="0">
            <x v="7"/>
          </reference>
          <reference field="2" count="1" selected="0">
            <x v="17"/>
          </reference>
          <reference field="3" count="1">
            <x v="32"/>
          </reference>
        </references>
      </pivotArea>
    </format>
    <format dxfId="263">
      <pivotArea dataOnly="0" labelOnly="1" fieldPosition="0">
        <references count="4">
          <reference field="0" count="1" selected="0">
            <x v="2"/>
          </reference>
          <reference field="1" count="1" selected="0">
            <x v="8"/>
          </reference>
          <reference field="2" count="1" selected="0">
            <x v="18"/>
          </reference>
          <reference field="3" count="1">
            <x v="26"/>
          </reference>
        </references>
      </pivotArea>
    </format>
    <format dxfId="262">
      <pivotArea dataOnly="0" labelOnly="1" fieldPosition="0">
        <references count="4">
          <reference field="0" count="1" selected="0">
            <x v="2"/>
          </reference>
          <reference field="1" count="1" selected="0">
            <x v="8"/>
          </reference>
          <reference field="2" count="1" selected="0">
            <x v="19"/>
          </reference>
          <reference field="3" count="1">
            <x v="33"/>
          </reference>
        </references>
      </pivotArea>
    </format>
    <format dxfId="261">
      <pivotArea dataOnly="0" labelOnly="1" fieldPosition="0">
        <references count="4">
          <reference field="0" count="1" selected="0">
            <x v="2"/>
          </reference>
          <reference field="1" count="1" selected="0">
            <x v="8"/>
          </reference>
          <reference field="2" count="1" selected="0">
            <x v="20"/>
          </reference>
          <reference field="3" count="1">
            <x v="16"/>
          </reference>
        </references>
      </pivotArea>
    </format>
    <format dxfId="260">
      <pivotArea dataOnly="0" labelOnly="1" fieldPosition="0">
        <references count="4">
          <reference field="0" count="1" selected="0">
            <x v="3"/>
          </reference>
          <reference field="1" count="1" selected="0">
            <x v="9"/>
          </reference>
          <reference field="2" count="1" selected="0">
            <x v="21"/>
          </reference>
          <reference field="3" count="1">
            <x v="12"/>
          </reference>
        </references>
      </pivotArea>
    </format>
    <format dxfId="259">
      <pivotArea dataOnly="0" labelOnly="1" fieldPosition="0">
        <references count="4">
          <reference field="0" count="1" selected="0">
            <x v="3"/>
          </reference>
          <reference field="1" count="1" selected="0">
            <x v="9"/>
          </reference>
          <reference field="2" count="1" selected="0">
            <x v="22"/>
          </reference>
          <reference field="3" count="1">
            <x v="44"/>
          </reference>
        </references>
      </pivotArea>
    </format>
    <format dxfId="258">
      <pivotArea dataOnly="0" labelOnly="1" fieldPosition="0">
        <references count="4">
          <reference field="0" count="1" selected="0">
            <x v="3"/>
          </reference>
          <reference field="1" count="1" selected="0">
            <x v="10"/>
          </reference>
          <reference field="2" count="1" selected="0">
            <x v="23"/>
          </reference>
          <reference field="3" count="1">
            <x v="42"/>
          </reference>
        </references>
      </pivotArea>
    </format>
    <format dxfId="257">
      <pivotArea dataOnly="0" labelOnly="1" fieldPosition="0">
        <references count="4">
          <reference field="0" count="1" selected="0">
            <x v="3"/>
          </reference>
          <reference field="1" count="1" selected="0">
            <x v="10"/>
          </reference>
          <reference field="2" count="1" selected="0">
            <x v="24"/>
          </reference>
          <reference field="3" count="1">
            <x v="14"/>
          </reference>
        </references>
      </pivotArea>
    </format>
    <format dxfId="256">
      <pivotArea dataOnly="0" labelOnly="1" fieldPosition="0">
        <references count="4">
          <reference field="0" count="1" selected="0">
            <x v="3"/>
          </reference>
          <reference field="1" count="1" selected="0">
            <x v="10"/>
          </reference>
          <reference field="2" count="1" selected="0">
            <x v="25"/>
          </reference>
          <reference field="3" count="1">
            <x v="18"/>
          </reference>
        </references>
      </pivotArea>
    </format>
    <format dxfId="255">
      <pivotArea dataOnly="0" labelOnly="1" fieldPosition="0">
        <references count="4">
          <reference field="0" count="1" selected="0">
            <x v="4"/>
          </reference>
          <reference field="1" count="1" selected="0">
            <x v="11"/>
          </reference>
          <reference field="2" count="1" selected="0">
            <x v="26"/>
          </reference>
          <reference field="3" count="1">
            <x v="1"/>
          </reference>
        </references>
      </pivotArea>
    </format>
    <format dxfId="254">
      <pivotArea dataOnly="0" labelOnly="1" fieldPosition="0">
        <references count="4">
          <reference field="0" count="1" selected="0">
            <x v="4"/>
          </reference>
          <reference field="1" count="1" selected="0">
            <x v="11"/>
          </reference>
          <reference field="2" count="1" selected="0">
            <x v="27"/>
          </reference>
          <reference field="3" count="1">
            <x v="47"/>
          </reference>
        </references>
      </pivotArea>
    </format>
    <format dxfId="253">
      <pivotArea dataOnly="0" labelOnly="1" fieldPosition="0">
        <references count="4">
          <reference field="0" count="1" selected="0">
            <x v="5"/>
          </reference>
          <reference field="1" count="1" selected="0">
            <x v="12"/>
          </reference>
          <reference field="2" count="1" selected="0">
            <x v="28"/>
          </reference>
          <reference field="3" count="1">
            <x v="9"/>
          </reference>
        </references>
      </pivotArea>
    </format>
    <format dxfId="252">
      <pivotArea dataOnly="0" labelOnly="1" fieldPosition="0">
        <references count="4">
          <reference field="0" count="1" selected="0">
            <x v="5"/>
          </reference>
          <reference field="1" count="1" selected="0">
            <x v="12"/>
          </reference>
          <reference field="2" count="1" selected="0">
            <x v="29"/>
          </reference>
          <reference field="3" count="1">
            <x v="6"/>
          </reference>
        </references>
      </pivotArea>
    </format>
    <format dxfId="251">
      <pivotArea dataOnly="0" labelOnly="1" fieldPosition="0">
        <references count="4">
          <reference field="0" count="1" selected="0">
            <x v="5"/>
          </reference>
          <reference field="1" count="1" selected="0">
            <x v="12"/>
          </reference>
          <reference field="2" count="1" selected="0">
            <x v="30"/>
          </reference>
          <reference field="3" count="1">
            <x v="10"/>
          </reference>
        </references>
      </pivotArea>
    </format>
    <format dxfId="250">
      <pivotArea dataOnly="0" labelOnly="1" fieldPosition="0">
        <references count="4">
          <reference field="0" count="1" selected="0">
            <x v="6"/>
          </reference>
          <reference field="1" count="1" selected="0">
            <x v="13"/>
          </reference>
          <reference field="2" count="1" selected="0">
            <x v="31"/>
          </reference>
          <reference field="3" count="1">
            <x v="21"/>
          </reference>
        </references>
      </pivotArea>
    </format>
    <format dxfId="249">
      <pivotArea dataOnly="0" labelOnly="1" fieldPosition="0">
        <references count="4">
          <reference field="0" count="1" selected="0">
            <x v="6"/>
          </reference>
          <reference field="1" count="1" selected="0">
            <x v="13"/>
          </reference>
          <reference field="2" count="1" selected="0">
            <x v="32"/>
          </reference>
          <reference field="3" count="1">
            <x v="24"/>
          </reference>
        </references>
      </pivotArea>
    </format>
    <format dxfId="248">
      <pivotArea dataOnly="0" labelOnly="1" fieldPosition="0">
        <references count="4">
          <reference field="0" count="1" selected="0">
            <x v="6"/>
          </reference>
          <reference field="1" count="1" selected="0">
            <x v="14"/>
          </reference>
          <reference field="2" count="1" selected="0">
            <x v="33"/>
          </reference>
          <reference field="3" count="1">
            <x v="19"/>
          </reference>
        </references>
      </pivotArea>
    </format>
    <format dxfId="247">
      <pivotArea dataOnly="0" labelOnly="1" fieldPosition="0">
        <references count="4">
          <reference field="0" count="1" selected="0">
            <x v="6"/>
          </reference>
          <reference field="1" count="1" selected="0">
            <x v="14"/>
          </reference>
          <reference field="2" count="1" selected="0">
            <x v="34"/>
          </reference>
          <reference field="3" count="1">
            <x v="43"/>
          </reference>
        </references>
      </pivotArea>
    </format>
    <format dxfId="246">
      <pivotArea dataOnly="0" labelOnly="1" fieldPosition="0">
        <references count="4">
          <reference field="0" count="1" selected="0">
            <x v="6"/>
          </reference>
          <reference field="1" count="1" selected="0">
            <x v="15"/>
          </reference>
          <reference field="2" count="1" selected="0">
            <x v="35"/>
          </reference>
          <reference field="3" count="1">
            <x v="5"/>
          </reference>
        </references>
      </pivotArea>
    </format>
    <format dxfId="245">
      <pivotArea dataOnly="0" labelOnly="1" fieldPosition="0">
        <references count="4">
          <reference field="0" count="1" selected="0">
            <x v="6"/>
          </reference>
          <reference field="1" count="1" selected="0">
            <x v="15"/>
          </reference>
          <reference field="2" count="1" selected="0">
            <x v="36"/>
          </reference>
          <reference field="3" count="1">
            <x v="28"/>
          </reference>
        </references>
      </pivotArea>
    </format>
    <format dxfId="244">
      <pivotArea dataOnly="0" labelOnly="1" fieldPosition="0">
        <references count="4">
          <reference field="0" count="1" selected="0">
            <x v="6"/>
          </reference>
          <reference field="1" count="1" selected="0">
            <x v="15"/>
          </reference>
          <reference field="2" count="1" selected="0">
            <x v="37"/>
          </reference>
          <reference field="3" count="1">
            <x v="45"/>
          </reference>
        </references>
      </pivotArea>
    </format>
    <format dxfId="243">
      <pivotArea dataOnly="0" labelOnly="1" fieldPosition="0">
        <references count="4">
          <reference field="0" count="1" selected="0">
            <x v="6"/>
          </reference>
          <reference field="1" count="1" selected="0">
            <x v="15"/>
          </reference>
          <reference field="2" count="1" selected="0">
            <x v="38"/>
          </reference>
          <reference field="3" count="1">
            <x v="31"/>
          </reference>
        </references>
      </pivotArea>
    </format>
    <format dxfId="242">
      <pivotArea dataOnly="0" labelOnly="1" fieldPosition="0">
        <references count="4">
          <reference field="0" count="1" selected="0">
            <x v="6"/>
          </reference>
          <reference field="1" count="1" selected="0">
            <x v="15"/>
          </reference>
          <reference field="2" count="1" selected="0">
            <x v="39"/>
          </reference>
          <reference field="3" count="1">
            <x v="4"/>
          </reference>
        </references>
      </pivotArea>
    </format>
    <format dxfId="241">
      <pivotArea dataOnly="0" labelOnly="1" fieldPosition="0">
        <references count="4">
          <reference field="0" count="1" selected="0">
            <x v="7"/>
          </reference>
          <reference field="1" count="1" selected="0">
            <x v="16"/>
          </reference>
          <reference field="2" count="1" selected="0">
            <x v="40"/>
          </reference>
          <reference field="3" count="1">
            <x v="13"/>
          </reference>
        </references>
      </pivotArea>
    </format>
    <format dxfId="240">
      <pivotArea dataOnly="0" labelOnly="1" fieldPosition="0">
        <references count="4">
          <reference field="0" count="1" selected="0">
            <x v="7"/>
          </reference>
          <reference field="1" count="1" selected="0">
            <x v="16"/>
          </reference>
          <reference field="2" count="1" selected="0">
            <x v="41"/>
          </reference>
          <reference field="3" count="1">
            <x v="25"/>
          </reference>
        </references>
      </pivotArea>
    </format>
    <format dxfId="239">
      <pivotArea dataOnly="0" labelOnly="1" fieldPosition="0">
        <references count="4">
          <reference field="0" count="1" selected="0">
            <x v="7"/>
          </reference>
          <reference field="1" count="1" selected="0">
            <x v="17"/>
          </reference>
          <reference field="2" count="1" selected="0">
            <x v="42"/>
          </reference>
          <reference field="3" count="1">
            <x v="3"/>
          </reference>
        </references>
      </pivotArea>
    </format>
    <format dxfId="238">
      <pivotArea dataOnly="0" labelOnly="1" fieldPosition="0">
        <references count="4">
          <reference field="0" count="1" selected="0">
            <x v="7"/>
          </reference>
          <reference field="1" count="1" selected="0">
            <x v="17"/>
          </reference>
          <reference field="2" count="1" selected="0">
            <x v="43"/>
          </reference>
          <reference field="3" count="1">
            <x v="29"/>
          </reference>
        </references>
      </pivotArea>
    </format>
    <format dxfId="237">
      <pivotArea dataOnly="0" labelOnly="1" fieldPosition="0">
        <references count="4">
          <reference field="0" count="1" selected="0">
            <x v="7"/>
          </reference>
          <reference field="1" count="1" selected="0">
            <x v="17"/>
          </reference>
          <reference field="2" count="1" selected="0">
            <x v="44"/>
          </reference>
          <reference field="3" count="1">
            <x v="34"/>
          </reference>
        </references>
      </pivotArea>
    </format>
    <format dxfId="236">
      <pivotArea dataOnly="0" labelOnly="1" fieldPosition="0">
        <references count="4">
          <reference field="0" count="1" selected="0">
            <x v="8"/>
          </reference>
          <reference field="1" count="1" selected="0">
            <x v="18"/>
          </reference>
          <reference field="2" count="1" selected="0">
            <x v="45"/>
          </reference>
          <reference field="3" count="1">
            <x v="7"/>
          </reference>
        </references>
      </pivotArea>
    </format>
    <format dxfId="235">
      <pivotArea dataOnly="0" labelOnly="1" fieldPosition="0">
        <references count="4">
          <reference field="0" count="1" selected="0">
            <x v="8"/>
          </reference>
          <reference field="1" count="1" selected="0">
            <x v="18"/>
          </reference>
          <reference field="2" count="1" selected="0">
            <x v="46"/>
          </reference>
          <reference field="3" count="1">
            <x v="48"/>
          </reference>
        </references>
      </pivotArea>
    </format>
    <format dxfId="234">
      <pivotArea dataOnly="0" labelOnly="1" fieldPosition="0">
        <references count="4">
          <reference field="0" count="1" selected="0">
            <x v="8"/>
          </reference>
          <reference field="1" count="1" selected="0">
            <x v="18"/>
          </reference>
          <reference field="2" count="1" selected="0">
            <x v="47"/>
          </reference>
          <reference field="3" count="1">
            <x v="22"/>
          </reference>
        </references>
      </pivotArea>
    </format>
    <format dxfId="233">
      <pivotArea dataOnly="0" labelOnly="1" fieldPosition="0">
        <references count="4">
          <reference field="0" count="1" selected="0">
            <x v="8"/>
          </reference>
          <reference field="1" count="1" selected="0">
            <x v="18"/>
          </reference>
          <reference field="2" count="1" selected="0">
            <x v="48"/>
          </reference>
          <reference field="3" count="1">
            <x v="49"/>
          </reference>
        </references>
      </pivotArea>
    </format>
    <format dxfId="232">
      <pivotArea dataOnly="0" labelOnly="1" fieldPosition="0">
        <references count="4">
          <reference field="0" count="1" selected="0">
            <x v="8"/>
          </reference>
          <reference field="1" count="1" selected="0">
            <x v="19"/>
          </reference>
          <reference field="2" count="1" selected="0">
            <x v="49"/>
          </reference>
          <reference field="3" count="1">
            <x v="39"/>
          </reference>
        </references>
      </pivotArea>
    </format>
    <format dxfId="231">
      <pivotArea dataOnly="0" labelOnly="1" fieldPosition="0">
        <references count="5">
          <reference field="0" count="1" selected="0">
            <x v="0"/>
          </reference>
          <reference field="1" count="1" selected="0">
            <x v="0"/>
          </reference>
          <reference field="2" count="1" selected="0">
            <x v="0"/>
          </reference>
          <reference field="3" count="1" selected="0">
            <x v="41"/>
          </reference>
          <reference field="4" count="1">
            <x v="6"/>
          </reference>
        </references>
      </pivotArea>
    </format>
    <format dxfId="230">
      <pivotArea dataOnly="0" labelOnly="1" fieldPosition="0">
        <references count="5">
          <reference field="0" count="1" selected="0">
            <x v="0"/>
          </reference>
          <reference field="1" count="1" selected="0">
            <x v="0"/>
          </reference>
          <reference field="2" count="1" selected="0">
            <x v="1"/>
          </reference>
          <reference field="3" count="1" selected="0">
            <x v="40"/>
          </reference>
          <reference field="4" count="1">
            <x v="13"/>
          </reference>
        </references>
      </pivotArea>
    </format>
    <format dxfId="229">
      <pivotArea dataOnly="0" labelOnly="1" fieldPosition="0">
        <references count="5">
          <reference field="0" count="1" selected="0">
            <x v="0"/>
          </reference>
          <reference field="1" count="1" selected="0">
            <x v="1"/>
          </reference>
          <reference field="2" count="1" selected="0">
            <x v="2"/>
          </reference>
          <reference field="3" count="1" selected="0">
            <x v="46"/>
          </reference>
          <reference field="4" count="1">
            <x v="9"/>
          </reference>
        </references>
      </pivotArea>
    </format>
    <format dxfId="228">
      <pivotArea dataOnly="0" labelOnly="1" fieldPosition="0">
        <references count="5">
          <reference field="0" count="1" selected="0">
            <x v="0"/>
          </reference>
          <reference field="1" count="1" selected="0">
            <x v="1"/>
          </reference>
          <reference field="2" count="1" selected="0">
            <x v="3"/>
          </reference>
          <reference field="3" count="1" selected="0">
            <x v="17"/>
          </reference>
          <reference field="4" count="1">
            <x v="6"/>
          </reference>
        </references>
      </pivotArea>
    </format>
    <format dxfId="227">
      <pivotArea dataOnly="0" labelOnly="1" fieldPosition="0">
        <references count="5">
          <reference field="0" count="1" selected="0">
            <x v="0"/>
          </reference>
          <reference field="1" count="1" selected="0">
            <x v="1"/>
          </reference>
          <reference field="2" count="1" selected="0">
            <x v="4"/>
          </reference>
          <reference field="3" count="1" selected="0">
            <x v="20"/>
          </reference>
          <reference field="4" count="1">
            <x v="8"/>
          </reference>
        </references>
      </pivotArea>
    </format>
    <format dxfId="226">
      <pivotArea dataOnly="0" labelOnly="1" fieldPosition="0">
        <references count="5">
          <reference field="0" count="1" selected="0">
            <x v="0"/>
          </reference>
          <reference field="1" count="1" selected="0">
            <x v="2"/>
          </reference>
          <reference field="2" count="1" selected="0">
            <x v="5"/>
          </reference>
          <reference field="3" count="1" selected="0">
            <x v="2"/>
          </reference>
          <reference field="4" count="1">
            <x v="9"/>
          </reference>
        </references>
      </pivotArea>
    </format>
    <format dxfId="225">
      <pivotArea dataOnly="0" labelOnly="1" fieldPosition="0">
        <references count="5">
          <reference field="0" count="1" selected="0">
            <x v="0"/>
          </reference>
          <reference field="1" count="1" selected="0">
            <x v="2"/>
          </reference>
          <reference field="2" count="1" selected="0">
            <x v="6"/>
          </reference>
          <reference field="3" count="1" selected="0">
            <x v="8"/>
          </reference>
          <reference field="4" count="1">
            <x v="11"/>
          </reference>
        </references>
      </pivotArea>
    </format>
    <format dxfId="224">
      <pivotArea dataOnly="0" labelOnly="1" fieldPosition="0">
        <references count="5">
          <reference field="0" count="1" selected="0">
            <x v="0"/>
          </reference>
          <reference field="1" count="1" selected="0">
            <x v="2"/>
          </reference>
          <reference field="2" count="1" selected="0">
            <x v="7"/>
          </reference>
          <reference field="3" count="1" selected="0">
            <x v="23"/>
          </reference>
          <reference field="4" count="1">
            <x v="14"/>
          </reference>
        </references>
      </pivotArea>
    </format>
    <format dxfId="223">
      <pivotArea dataOnly="0" labelOnly="1" fieldPosition="0">
        <references count="5">
          <reference field="0" count="1" selected="0">
            <x v="1"/>
          </reference>
          <reference field="1" count="1" selected="0">
            <x v="3"/>
          </reference>
          <reference field="2" count="1" selected="0">
            <x v="8"/>
          </reference>
          <reference field="3" count="1" selected="0">
            <x v="0"/>
          </reference>
          <reference field="4" count="1">
            <x v="6"/>
          </reference>
        </references>
      </pivotArea>
    </format>
    <format dxfId="222">
      <pivotArea dataOnly="0" labelOnly="1" fieldPosition="0">
        <references count="5">
          <reference field="0" count="1" selected="0">
            <x v="1"/>
          </reference>
          <reference field="1" count="1" selected="0">
            <x v="3"/>
          </reference>
          <reference field="2" count="1" selected="0">
            <x v="9"/>
          </reference>
          <reference field="3" count="1" selected="0">
            <x v="38"/>
          </reference>
          <reference field="4" count="1">
            <x v="17"/>
          </reference>
        </references>
      </pivotArea>
    </format>
    <format dxfId="221">
      <pivotArea dataOnly="0" labelOnly="1" fieldPosition="0">
        <references count="5">
          <reference field="0" count="1" selected="0">
            <x v="1"/>
          </reference>
          <reference field="1" count="1" selected="0">
            <x v="3"/>
          </reference>
          <reference field="2" count="1" selected="0">
            <x v="10"/>
          </reference>
          <reference field="3" count="1" selected="0">
            <x v="27"/>
          </reference>
          <reference field="4" count="1">
            <x v="6"/>
          </reference>
        </references>
      </pivotArea>
    </format>
    <format dxfId="220">
      <pivotArea dataOnly="0" labelOnly="1" fieldPosition="0">
        <references count="5">
          <reference field="0" count="1" selected="0">
            <x v="1"/>
          </reference>
          <reference field="1" count="1" selected="0">
            <x v="4"/>
          </reference>
          <reference field="2" count="1" selected="0">
            <x v="11"/>
          </reference>
          <reference field="3" count="1" selected="0">
            <x v="37"/>
          </reference>
          <reference field="4" count="1">
            <x v="15"/>
          </reference>
        </references>
      </pivotArea>
    </format>
    <format dxfId="219">
      <pivotArea dataOnly="0" labelOnly="1" fieldPosition="0">
        <references count="5">
          <reference field="0" count="1" selected="0">
            <x v="1"/>
          </reference>
          <reference field="1" count="1" selected="0">
            <x v="4"/>
          </reference>
          <reference field="2" count="1" selected="0">
            <x v="12"/>
          </reference>
          <reference field="3" count="1" selected="0">
            <x v="36"/>
          </reference>
          <reference field="4" count="1">
            <x v="6"/>
          </reference>
        </references>
      </pivotArea>
    </format>
    <format dxfId="218">
      <pivotArea dataOnly="0" labelOnly="1" fieldPosition="0">
        <references count="5">
          <reference field="0" count="1" selected="0">
            <x v="1"/>
          </reference>
          <reference field="1" count="1" selected="0">
            <x v="5"/>
          </reference>
          <reference field="2" count="1" selected="0">
            <x v="13"/>
          </reference>
          <reference field="3" count="1" selected="0">
            <x v="11"/>
          </reference>
          <reference field="4" count="1">
            <x v="17"/>
          </reference>
        </references>
      </pivotArea>
    </format>
    <format dxfId="217">
      <pivotArea dataOnly="0" labelOnly="1" fieldPosition="0">
        <references count="5">
          <reference field="0" count="1" selected="0">
            <x v="1"/>
          </reference>
          <reference field="1" count="1" selected="0">
            <x v="5"/>
          </reference>
          <reference field="2" count="1" selected="0">
            <x v="14"/>
          </reference>
          <reference field="3" count="1" selected="0">
            <x v="15"/>
          </reference>
          <reference field="4" count="1">
            <x v="6"/>
          </reference>
        </references>
      </pivotArea>
    </format>
    <format dxfId="216">
      <pivotArea dataOnly="0" labelOnly="1" fieldPosition="0">
        <references count="5">
          <reference field="0" count="1" selected="0">
            <x v="2"/>
          </reference>
          <reference field="1" count="1" selected="0">
            <x v="6"/>
          </reference>
          <reference field="2" count="1" selected="0">
            <x v="15"/>
          </reference>
          <reference field="3" count="1" selected="0">
            <x v="30"/>
          </reference>
          <reference field="4" count="1">
            <x v="6"/>
          </reference>
        </references>
      </pivotArea>
    </format>
    <format dxfId="215">
      <pivotArea dataOnly="0" labelOnly="1" fieldPosition="0">
        <references count="5">
          <reference field="0" count="1" selected="0">
            <x v="2"/>
          </reference>
          <reference field="1" count="1" selected="0">
            <x v="7"/>
          </reference>
          <reference field="2" count="1" selected="0">
            <x v="16"/>
          </reference>
          <reference field="3" count="1" selected="0">
            <x v="35"/>
          </reference>
          <reference field="4" count="1">
            <x v="6"/>
          </reference>
        </references>
      </pivotArea>
    </format>
    <format dxfId="214">
      <pivotArea dataOnly="0" labelOnly="1" fieldPosition="0">
        <references count="5">
          <reference field="0" count="1" selected="0">
            <x v="2"/>
          </reference>
          <reference field="1" count="1" selected="0">
            <x v="8"/>
          </reference>
          <reference field="2" count="1" selected="0">
            <x v="18"/>
          </reference>
          <reference field="3" count="1" selected="0">
            <x v="26"/>
          </reference>
          <reference field="4" count="1">
            <x v="6"/>
          </reference>
        </references>
      </pivotArea>
    </format>
    <format dxfId="213">
      <pivotArea dataOnly="0" labelOnly="1" fieldPosition="0">
        <references count="5">
          <reference field="0" count="1" selected="0">
            <x v="3"/>
          </reference>
          <reference field="1" count="1" selected="0">
            <x v="9"/>
          </reference>
          <reference field="2" count="1" selected="0">
            <x v="21"/>
          </reference>
          <reference field="3" count="1" selected="0">
            <x v="12"/>
          </reference>
          <reference field="4" count="1">
            <x v="18"/>
          </reference>
        </references>
      </pivotArea>
    </format>
    <format dxfId="212">
      <pivotArea dataOnly="0" labelOnly="1" fieldPosition="0">
        <references count="5">
          <reference field="0" count="1" selected="0">
            <x v="3"/>
          </reference>
          <reference field="1" count="1" selected="0">
            <x v="9"/>
          </reference>
          <reference field="2" count="1" selected="0">
            <x v="22"/>
          </reference>
          <reference field="3" count="1" selected="0">
            <x v="44"/>
          </reference>
          <reference field="4" count="1">
            <x v="20"/>
          </reference>
        </references>
      </pivotArea>
    </format>
    <format dxfId="211">
      <pivotArea dataOnly="0" labelOnly="1" fieldPosition="0">
        <references count="5">
          <reference field="0" count="1" selected="0">
            <x v="3"/>
          </reference>
          <reference field="1" count="1" selected="0">
            <x v="10"/>
          </reference>
          <reference field="2" count="1" selected="0">
            <x v="23"/>
          </reference>
          <reference field="3" count="1" selected="0">
            <x v="42"/>
          </reference>
          <reference field="4" count="1">
            <x v="18"/>
          </reference>
        </references>
      </pivotArea>
    </format>
    <format dxfId="210">
      <pivotArea dataOnly="0" labelOnly="1" fieldPosition="0">
        <references count="5">
          <reference field="0" count="1" selected="0">
            <x v="3"/>
          </reference>
          <reference field="1" count="1" selected="0">
            <x v="10"/>
          </reference>
          <reference field="2" count="1" selected="0">
            <x v="25"/>
          </reference>
          <reference field="3" count="1" selected="0">
            <x v="18"/>
          </reference>
          <reference field="4" count="1">
            <x v="20"/>
          </reference>
        </references>
      </pivotArea>
    </format>
    <format dxfId="209">
      <pivotArea dataOnly="0" labelOnly="1" fieldPosition="0">
        <references count="5">
          <reference field="0" count="1" selected="0">
            <x v="4"/>
          </reference>
          <reference field="1" count="1" selected="0">
            <x v="11"/>
          </reference>
          <reference field="2" count="1" selected="0">
            <x v="26"/>
          </reference>
          <reference field="3" count="1" selected="0">
            <x v="1"/>
          </reference>
          <reference field="4" count="1">
            <x v="12"/>
          </reference>
        </references>
      </pivotArea>
    </format>
    <format dxfId="208">
      <pivotArea dataOnly="0" labelOnly="1" fieldPosition="0">
        <references count="5">
          <reference field="0" count="1" selected="0">
            <x v="4"/>
          </reference>
          <reference field="1" count="1" selected="0">
            <x v="11"/>
          </reference>
          <reference field="2" count="1" selected="0">
            <x v="27"/>
          </reference>
          <reference field="3" count="1" selected="0">
            <x v="47"/>
          </reference>
          <reference field="4" count="1">
            <x v="16"/>
          </reference>
        </references>
      </pivotArea>
    </format>
    <format dxfId="207">
      <pivotArea dataOnly="0" labelOnly="1" fieldPosition="0">
        <references count="5">
          <reference field="0" count="1" selected="0">
            <x v="5"/>
          </reference>
          <reference field="1" count="1" selected="0">
            <x v="12"/>
          </reference>
          <reference field="2" count="1" selected="0">
            <x v="28"/>
          </reference>
          <reference field="3" count="1" selected="0">
            <x v="9"/>
          </reference>
          <reference field="4" count="1">
            <x v="7"/>
          </reference>
        </references>
      </pivotArea>
    </format>
    <format dxfId="206">
      <pivotArea dataOnly="0" labelOnly="1" fieldPosition="0">
        <references count="5">
          <reference field="0" count="1" selected="0">
            <x v="5"/>
          </reference>
          <reference field="1" count="1" selected="0">
            <x v="12"/>
          </reference>
          <reference field="2" count="1" selected="0">
            <x v="29"/>
          </reference>
          <reference field="3" count="1" selected="0">
            <x v="6"/>
          </reference>
          <reference field="4" count="1">
            <x v="12"/>
          </reference>
        </references>
      </pivotArea>
    </format>
    <format dxfId="205">
      <pivotArea dataOnly="0" labelOnly="1" fieldPosition="0">
        <references count="5">
          <reference field="0" count="1" selected="0">
            <x v="5"/>
          </reference>
          <reference field="1" count="1" selected="0">
            <x v="12"/>
          </reference>
          <reference field="2" count="1" selected="0">
            <x v="30"/>
          </reference>
          <reference field="3" count="1" selected="0">
            <x v="10"/>
          </reference>
          <reference field="4" count="1">
            <x v="19"/>
          </reference>
        </references>
      </pivotArea>
    </format>
    <format dxfId="204">
      <pivotArea dataOnly="0" labelOnly="1" fieldPosition="0">
        <references count="5">
          <reference field="0" count="1" selected="0">
            <x v="6"/>
          </reference>
          <reference field="1" count="1" selected="0">
            <x v="13"/>
          </reference>
          <reference field="2" count="1" selected="0">
            <x v="31"/>
          </reference>
          <reference field="3" count="1" selected="0">
            <x v="21"/>
          </reference>
          <reference field="4" count="1">
            <x v="15"/>
          </reference>
        </references>
      </pivotArea>
    </format>
    <format dxfId="203">
      <pivotArea dataOnly="0" labelOnly="1" fieldPosition="0">
        <references count="5">
          <reference field="0" count="1" selected="0">
            <x v="6"/>
          </reference>
          <reference field="1" count="1" selected="0">
            <x v="13"/>
          </reference>
          <reference field="2" count="1" selected="0">
            <x v="32"/>
          </reference>
          <reference field="3" count="1" selected="0">
            <x v="24"/>
          </reference>
          <reference field="4" count="1">
            <x v="0"/>
          </reference>
        </references>
      </pivotArea>
    </format>
    <format dxfId="202">
      <pivotArea dataOnly="0" labelOnly="1" fieldPosition="0">
        <references count="5">
          <reference field="0" count="1" selected="0">
            <x v="6"/>
          </reference>
          <reference field="1" count="1" selected="0">
            <x v="14"/>
          </reference>
          <reference field="2" count="1" selected="0">
            <x v="33"/>
          </reference>
          <reference field="3" count="1" selected="0">
            <x v="19"/>
          </reference>
          <reference field="4" count="1">
            <x v="19"/>
          </reference>
        </references>
      </pivotArea>
    </format>
    <format dxfId="201">
      <pivotArea dataOnly="0" labelOnly="1" fieldPosition="0">
        <references count="5">
          <reference field="0" count="1" selected="0">
            <x v="6"/>
          </reference>
          <reference field="1" count="1" selected="0">
            <x v="14"/>
          </reference>
          <reference field="2" count="1" selected="0">
            <x v="34"/>
          </reference>
          <reference field="3" count="1" selected="0">
            <x v="43"/>
          </reference>
          <reference field="4" count="1">
            <x v="6"/>
          </reference>
        </references>
      </pivotArea>
    </format>
    <format dxfId="200">
      <pivotArea dataOnly="0" labelOnly="1" fieldPosition="0">
        <references count="5">
          <reference field="0" count="1" selected="0">
            <x v="6"/>
          </reference>
          <reference field="1" count="1" selected="0">
            <x v="15"/>
          </reference>
          <reference field="2" count="1" selected="0">
            <x v="35"/>
          </reference>
          <reference field="3" count="1" selected="0">
            <x v="5"/>
          </reference>
          <reference field="4" count="1">
            <x v="1"/>
          </reference>
        </references>
      </pivotArea>
    </format>
    <format dxfId="199">
      <pivotArea dataOnly="0" labelOnly="1" fieldPosition="0">
        <references count="5">
          <reference field="0" count="1" selected="0">
            <x v="6"/>
          </reference>
          <reference field="1" count="1" selected="0">
            <x v="15"/>
          </reference>
          <reference field="2" count="1" selected="0">
            <x v="36"/>
          </reference>
          <reference field="3" count="1" selected="0">
            <x v="28"/>
          </reference>
          <reference field="4" count="1">
            <x v="6"/>
          </reference>
        </references>
      </pivotArea>
    </format>
    <format dxfId="198">
      <pivotArea dataOnly="0" labelOnly="1" fieldPosition="0">
        <references count="5">
          <reference field="0" count="1" selected="0">
            <x v="7"/>
          </reference>
          <reference field="1" count="1" selected="0">
            <x v="16"/>
          </reference>
          <reference field="2" count="1" selected="0">
            <x v="40"/>
          </reference>
          <reference field="3" count="1" selected="0">
            <x v="13"/>
          </reference>
          <reference field="4" count="1">
            <x v="2"/>
          </reference>
        </references>
      </pivotArea>
    </format>
    <format dxfId="197">
      <pivotArea dataOnly="0" labelOnly="1" fieldPosition="0">
        <references count="5">
          <reference field="0" count="1" selected="0">
            <x v="7"/>
          </reference>
          <reference field="1" count="1" selected="0">
            <x v="16"/>
          </reference>
          <reference field="2" count="1" selected="0">
            <x v="41"/>
          </reference>
          <reference field="3" count="1" selected="0">
            <x v="25"/>
          </reference>
          <reference field="4" count="1">
            <x v="10"/>
          </reference>
        </references>
      </pivotArea>
    </format>
    <format dxfId="196">
      <pivotArea dataOnly="0" labelOnly="1" fieldPosition="0">
        <references count="5">
          <reference field="0" count="1" selected="0">
            <x v="7"/>
          </reference>
          <reference field="1" count="1" selected="0">
            <x v="17"/>
          </reference>
          <reference field="2" count="1" selected="0">
            <x v="42"/>
          </reference>
          <reference field="3" count="1" selected="0">
            <x v="3"/>
          </reference>
          <reference field="4" count="1">
            <x v="19"/>
          </reference>
        </references>
      </pivotArea>
    </format>
    <format dxfId="195">
      <pivotArea dataOnly="0" labelOnly="1" fieldPosition="0">
        <references count="5">
          <reference field="0" count="1" selected="0">
            <x v="7"/>
          </reference>
          <reference field="1" count="1" selected="0">
            <x v="17"/>
          </reference>
          <reference field="2" count="1" selected="0">
            <x v="43"/>
          </reference>
          <reference field="3" count="1" selected="0">
            <x v="29"/>
          </reference>
          <reference field="4" count="1">
            <x v="6"/>
          </reference>
        </references>
      </pivotArea>
    </format>
    <format dxfId="194">
      <pivotArea dataOnly="0" labelOnly="1" fieldPosition="0">
        <references count="5">
          <reference field="0" count="1" selected="0">
            <x v="7"/>
          </reference>
          <reference field="1" count="1" selected="0">
            <x v="17"/>
          </reference>
          <reference field="2" count="1" selected="0">
            <x v="44"/>
          </reference>
          <reference field="3" count="1" selected="0">
            <x v="34"/>
          </reference>
          <reference field="4" count="1">
            <x v="4"/>
          </reference>
        </references>
      </pivotArea>
    </format>
    <format dxfId="193">
      <pivotArea dataOnly="0" labelOnly="1" fieldPosition="0">
        <references count="5">
          <reference field="0" count="1" selected="0">
            <x v="8"/>
          </reference>
          <reference field="1" count="1" selected="0">
            <x v="18"/>
          </reference>
          <reference field="2" count="1" selected="0">
            <x v="45"/>
          </reference>
          <reference field="3" count="1" selected="0">
            <x v="7"/>
          </reference>
          <reference field="4" count="1">
            <x v="3"/>
          </reference>
        </references>
      </pivotArea>
    </format>
    <format dxfId="192">
      <pivotArea dataOnly="0" labelOnly="1" fieldPosition="0">
        <references count="5">
          <reference field="0" count="1" selected="0">
            <x v="8"/>
          </reference>
          <reference field="1" count="1" selected="0">
            <x v="19"/>
          </reference>
          <reference field="2" count="1" selected="0">
            <x v="49"/>
          </reference>
          <reference field="3" count="1" selected="0">
            <x v="39"/>
          </reference>
          <reference field="4" count="1">
            <x v="5"/>
          </reference>
        </references>
      </pivotArea>
    </format>
    <format dxfId="191">
      <pivotArea type="all" dataOnly="0" outline="0" fieldPosition="0"/>
    </format>
    <format dxfId="190">
      <pivotArea field="0" type="button" dataOnly="0" labelOnly="1" outline="0" axis="axisRow" fieldPosition="0"/>
    </format>
    <format dxfId="189">
      <pivotArea field="3" type="button" dataOnly="0" labelOnly="1" outline="0" axis="axisRow" fieldPosition="3"/>
    </format>
    <format dxfId="188">
      <pivotArea field="4" type="button" dataOnly="0" labelOnly="1" outline="0" axis="axisRow" fieldPosition="4"/>
    </format>
    <format dxfId="187">
      <pivotArea field="5" type="button" dataOnly="0" labelOnly="1" outline="0"/>
    </format>
    <format dxfId="186">
      <pivotArea dataOnly="0" labelOnly="1" fieldPosition="0">
        <references count="1">
          <reference field="0" count="0"/>
        </references>
      </pivotArea>
    </format>
    <format dxfId="185">
      <pivotArea dataOnly="0" labelOnly="1" fieldPosition="0">
        <references count="2">
          <reference field="0" count="1" selected="0">
            <x v="0"/>
          </reference>
          <reference field="1" count="3">
            <x v="0"/>
            <x v="1"/>
            <x v="2"/>
          </reference>
        </references>
      </pivotArea>
    </format>
    <format dxfId="184">
      <pivotArea dataOnly="0" labelOnly="1" fieldPosition="0">
        <references count="2">
          <reference field="0" count="1" selected="0">
            <x v="1"/>
          </reference>
          <reference field="1" count="3">
            <x v="3"/>
            <x v="4"/>
            <x v="5"/>
          </reference>
        </references>
      </pivotArea>
    </format>
    <format dxfId="183">
      <pivotArea dataOnly="0" labelOnly="1" fieldPosition="0">
        <references count="2">
          <reference field="0" count="1" selected="0">
            <x v="2"/>
          </reference>
          <reference field="1" count="3">
            <x v="6"/>
            <x v="7"/>
            <x v="8"/>
          </reference>
        </references>
      </pivotArea>
    </format>
    <format dxfId="182">
      <pivotArea dataOnly="0" labelOnly="1" fieldPosition="0">
        <references count="2">
          <reference field="0" count="1" selected="0">
            <x v="3"/>
          </reference>
          <reference field="1" count="2">
            <x v="9"/>
            <x v="10"/>
          </reference>
        </references>
      </pivotArea>
    </format>
    <format dxfId="181">
      <pivotArea dataOnly="0" labelOnly="1" fieldPosition="0">
        <references count="2">
          <reference field="0" count="1" selected="0">
            <x v="4"/>
          </reference>
          <reference field="1" count="1">
            <x v="11"/>
          </reference>
        </references>
      </pivotArea>
    </format>
    <format dxfId="180">
      <pivotArea dataOnly="0" labelOnly="1" fieldPosition="0">
        <references count="2">
          <reference field="0" count="1" selected="0">
            <x v="5"/>
          </reference>
          <reference field="1" count="1">
            <x v="12"/>
          </reference>
        </references>
      </pivotArea>
    </format>
    <format dxfId="179">
      <pivotArea dataOnly="0" labelOnly="1" fieldPosition="0">
        <references count="2">
          <reference field="0" count="1" selected="0">
            <x v="6"/>
          </reference>
          <reference field="1" count="3">
            <x v="13"/>
            <x v="14"/>
            <x v="15"/>
          </reference>
        </references>
      </pivotArea>
    </format>
    <format dxfId="178">
      <pivotArea dataOnly="0" labelOnly="1" fieldPosition="0">
        <references count="2">
          <reference field="0" count="1" selected="0">
            <x v="7"/>
          </reference>
          <reference field="1" count="2">
            <x v="16"/>
            <x v="17"/>
          </reference>
        </references>
      </pivotArea>
    </format>
    <format dxfId="177">
      <pivotArea dataOnly="0" labelOnly="1" fieldPosition="0">
        <references count="2">
          <reference field="0" count="1" selected="0">
            <x v="8"/>
          </reference>
          <reference field="1" count="2">
            <x v="18"/>
            <x v="19"/>
          </reference>
        </references>
      </pivotArea>
    </format>
    <format dxfId="176">
      <pivotArea dataOnly="0" labelOnly="1" fieldPosition="0">
        <references count="3">
          <reference field="0" count="1" selected="0">
            <x v="0"/>
          </reference>
          <reference field="1" count="1" selected="0">
            <x v="0"/>
          </reference>
          <reference field="2" count="2">
            <x v="0"/>
            <x v="1"/>
          </reference>
        </references>
      </pivotArea>
    </format>
    <format dxfId="175">
      <pivotArea dataOnly="0" labelOnly="1" fieldPosition="0">
        <references count="3">
          <reference field="0" count="1" selected="0">
            <x v="0"/>
          </reference>
          <reference field="1" count="1" selected="0">
            <x v="1"/>
          </reference>
          <reference field="2" count="3">
            <x v="2"/>
            <x v="3"/>
            <x v="4"/>
          </reference>
        </references>
      </pivotArea>
    </format>
    <format dxfId="174">
      <pivotArea dataOnly="0" labelOnly="1" fieldPosition="0">
        <references count="3">
          <reference field="0" count="1" selected="0">
            <x v="0"/>
          </reference>
          <reference field="1" count="1" selected="0">
            <x v="2"/>
          </reference>
          <reference field="2" count="3">
            <x v="5"/>
            <x v="6"/>
            <x v="7"/>
          </reference>
        </references>
      </pivotArea>
    </format>
    <format dxfId="173">
      <pivotArea dataOnly="0" labelOnly="1" fieldPosition="0">
        <references count="3">
          <reference field="0" count="1" selected="0">
            <x v="1"/>
          </reference>
          <reference field="1" count="1" selected="0">
            <x v="3"/>
          </reference>
          <reference field="2" count="3">
            <x v="8"/>
            <x v="9"/>
            <x v="10"/>
          </reference>
        </references>
      </pivotArea>
    </format>
    <format dxfId="172">
      <pivotArea dataOnly="0" labelOnly="1" fieldPosition="0">
        <references count="3">
          <reference field="0" count="1" selected="0">
            <x v="1"/>
          </reference>
          <reference field="1" count="1" selected="0">
            <x v="4"/>
          </reference>
          <reference field="2" count="2">
            <x v="11"/>
            <x v="12"/>
          </reference>
        </references>
      </pivotArea>
    </format>
    <format dxfId="171">
      <pivotArea dataOnly="0" labelOnly="1" fieldPosition="0">
        <references count="3">
          <reference field="0" count="1" selected="0">
            <x v="1"/>
          </reference>
          <reference field="1" count="1" selected="0">
            <x v="5"/>
          </reference>
          <reference field="2" count="2">
            <x v="13"/>
            <x v="14"/>
          </reference>
        </references>
      </pivotArea>
    </format>
    <format dxfId="170">
      <pivotArea dataOnly="0" labelOnly="1" fieldPosition="0">
        <references count="3">
          <reference field="0" count="1" selected="0">
            <x v="2"/>
          </reference>
          <reference field="1" count="1" selected="0">
            <x v="6"/>
          </reference>
          <reference field="2" count="1">
            <x v="15"/>
          </reference>
        </references>
      </pivotArea>
    </format>
    <format dxfId="169">
      <pivotArea dataOnly="0" labelOnly="1" fieldPosition="0">
        <references count="3">
          <reference field="0" count="1" selected="0">
            <x v="2"/>
          </reference>
          <reference field="1" count="1" selected="0">
            <x v="7"/>
          </reference>
          <reference field="2" count="2">
            <x v="16"/>
            <x v="17"/>
          </reference>
        </references>
      </pivotArea>
    </format>
    <format dxfId="168">
      <pivotArea dataOnly="0" labelOnly="1" fieldPosition="0">
        <references count="3">
          <reference field="0" count="1" selected="0">
            <x v="2"/>
          </reference>
          <reference field="1" count="1" selected="0">
            <x v="8"/>
          </reference>
          <reference field="2" count="3">
            <x v="18"/>
            <x v="19"/>
            <x v="20"/>
          </reference>
        </references>
      </pivotArea>
    </format>
    <format dxfId="167">
      <pivotArea dataOnly="0" labelOnly="1" fieldPosition="0">
        <references count="3">
          <reference field="0" count="1" selected="0">
            <x v="3"/>
          </reference>
          <reference field="1" count="1" selected="0">
            <x v="9"/>
          </reference>
          <reference field="2" count="2">
            <x v="21"/>
            <x v="22"/>
          </reference>
        </references>
      </pivotArea>
    </format>
    <format dxfId="166">
      <pivotArea dataOnly="0" labelOnly="1" fieldPosition="0">
        <references count="3">
          <reference field="0" count="1" selected="0">
            <x v="3"/>
          </reference>
          <reference field="1" count="1" selected="0">
            <x v="10"/>
          </reference>
          <reference field="2" count="3">
            <x v="23"/>
            <x v="24"/>
            <x v="25"/>
          </reference>
        </references>
      </pivotArea>
    </format>
    <format dxfId="165">
      <pivotArea dataOnly="0" labelOnly="1" fieldPosition="0">
        <references count="3">
          <reference field="0" count="1" selected="0">
            <x v="4"/>
          </reference>
          <reference field="1" count="1" selected="0">
            <x v="11"/>
          </reference>
          <reference field="2" count="2">
            <x v="26"/>
            <x v="27"/>
          </reference>
        </references>
      </pivotArea>
    </format>
    <format dxfId="164">
      <pivotArea dataOnly="0" labelOnly="1" fieldPosition="0">
        <references count="3">
          <reference field="0" count="1" selected="0">
            <x v="5"/>
          </reference>
          <reference field="1" count="1" selected="0">
            <x v="12"/>
          </reference>
          <reference field="2" count="3">
            <x v="28"/>
            <x v="29"/>
            <x v="30"/>
          </reference>
        </references>
      </pivotArea>
    </format>
    <format dxfId="163">
      <pivotArea dataOnly="0" labelOnly="1" fieldPosition="0">
        <references count="3">
          <reference field="0" count="1" selected="0">
            <x v="6"/>
          </reference>
          <reference field="1" count="1" selected="0">
            <x v="13"/>
          </reference>
          <reference field="2" count="2">
            <x v="31"/>
            <x v="32"/>
          </reference>
        </references>
      </pivotArea>
    </format>
    <format dxfId="162">
      <pivotArea dataOnly="0" labelOnly="1" fieldPosition="0">
        <references count="3">
          <reference field="0" count="1" selected="0">
            <x v="6"/>
          </reference>
          <reference field="1" count="1" selected="0">
            <x v="14"/>
          </reference>
          <reference field="2" count="2">
            <x v="33"/>
            <x v="34"/>
          </reference>
        </references>
      </pivotArea>
    </format>
    <format dxfId="161">
      <pivotArea dataOnly="0" labelOnly="1" fieldPosition="0">
        <references count="3">
          <reference field="0" count="1" selected="0">
            <x v="6"/>
          </reference>
          <reference field="1" count="1" selected="0">
            <x v="15"/>
          </reference>
          <reference field="2" count="5">
            <x v="35"/>
            <x v="36"/>
            <x v="37"/>
            <x v="38"/>
            <x v="39"/>
          </reference>
        </references>
      </pivotArea>
    </format>
    <format dxfId="160">
      <pivotArea dataOnly="0" labelOnly="1" fieldPosition="0">
        <references count="3">
          <reference field="0" count="1" selected="0">
            <x v="7"/>
          </reference>
          <reference field="1" count="1" selected="0">
            <x v="16"/>
          </reference>
          <reference field="2" count="2">
            <x v="40"/>
            <x v="41"/>
          </reference>
        </references>
      </pivotArea>
    </format>
    <format dxfId="159">
      <pivotArea dataOnly="0" labelOnly="1" fieldPosition="0">
        <references count="3">
          <reference field="0" count="1" selected="0">
            <x v="7"/>
          </reference>
          <reference field="1" count="1" selected="0">
            <x v="17"/>
          </reference>
          <reference field="2" count="3">
            <x v="42"/>
            <x v="43"/>
            <x v="44"/>
          </reference>
        </references>
      </pivotArea>
    </format>
    <format dxfId="158">
      <pivotArea dataOnly="0" labelOnly="1" fieldPosition="0">
        <references count="3">
          <reference field="0" count="1" selected="0">
            <x v="8"/>
          </reference>
          <reference field="1" count="1" selected="0">
            <x v="18"/>
          </reference>
          <reference field="2" count="4">
            <x v="45"/>
            <x v="46"/>
            <x v="47"/>
            <x v="48"/>
          </reference>
        </references>
      </pivotArea>
    </format>
    <format dxfId="157">
      <pivotArea dataOnly="0" labelOnly="1" fieldPosition="0">
        <references count="3">
          <reference field="0" count="1" selected="0">
            <x v="8"/>
          </reference>
          <reference field="1" count="1" selected="0">
            <x v="19"/>
          </reference>
          <reference field="2" count="1">
            <x v="49"/>
          </reference>
        </references>
      </pivotArea>
    </format>
    <format dxfId="156">
      <pivotArea dataOnly="0" labelOnly="1" fieldPosition="0">
        <references count="4">
          <reference field="0" count="1" selected="0">
            <x v="0"/>
          </reference>
          <reference field="1" count="1" selected="0">
            <x v="0"/>
          </reference>
          <reference field="2" count="1" selected="0">
            <x v="0"/>
          </reference>
          <reference field="3" count="1">
            <x v="41"/>
          </reference>
        </references>
      </pivotArea>
    </format>
    <format dxfId="155">
      <pivotArea dataOnly="0" labelOnly="1" fieldPosition="0">
        <references count="4">
          <reference field="0" count="1" selected="0">
            <x v="0"/>
          </reference>
          <reference field="1" count="1" selected="0">
            <x v="0"/>
          </reference>
          <reference field="2" count="1" selected="0">
            <x v="1"/>
          </reference>
          <reference field="3" count="1">
            <x v="40"/>
          </reference>
        </references>
      </pivotArea>
    </format>
    <format dxfId="154">
      <pivotArea dataOnly="0" labelOnly="1" fieldPosition="0">
        <references count="4">
          <reference field="0" count="1" selected="0">
            <x v="0"/>
          </reference>
          <reference field="1" count="1" selected="0">
            <x v="1"/>
          </reference>
          <reference field="2" count="1" selected="0">
            <x v="2"/>
          </reference>
          <reference field="3" count="1">
            <x v="46"/>
          </reference>
        </references>
      </pivotArea>
    </format>
    <format dxfId="153">
      <pivotArea dataOnly="0" labelOnly="1" fieldPosition="0">
        <references count="4">
          <reference field="0" count="1" selected="0">
            <x v="0"/>
          </reference>
          <reference field="1" count="1" selected="0">
            <x v="1"/>
          </reference>
          <reference field="2" count="1" selected="0">
            <x v="3"/>
          </reference>
          <reference field="3" count="1">
            <x v="17"/>
          </reference>
        </references>
      </pivotArea>
    </format>
    <format dxfId="152">
      <pivotArea dataOnly="0" labelOnly="1" fieldPosition="0">
        <references count="4">
          <reference field="0" count="1" selected="0">
            <x v="0"/>
          </reference>
          <reference field="1" count="1" selected="0">
            <x v="1"/>
          </reference>
          <reference field="2" count="1" selected="0">
            <x v="4"/>
          </reference>
          <reference field="3" count="1">
            <x v="20"/>
          </reference>
        </references>
      </pivotArea>
    </format>
    <format dxfId="151">
      <pivotArea dataOnly="0" labelOnly="1" fieldPosition="0">
        <references count="4">
          <reference field="0" count="1" selected="0">
            <x v="0"/>
          </reference>
          <reference field="1" count="1" selected="0">
            <x v="2"/>
          </reference>
          <reference field="2" count="1" selected="0">
            <x v="5"/>
          </reference>
          <reference field="3" count="1">
            <x v="2"/>
          </reference>
        </references>
      </pivotArea>
    </format>
    <format dxfId="150">
      <pivotArea dataOnly="0" labelOnly="1" fieldPosition="0">
        <references count="4">
          <reference field="0" count="1" selected="0">
            <x v="0"/>
          </reference>
          <reference field="1" count="1" selected="0">
            <x v="2"/>
          </reference>
          <reference field="2" count="1" selected="0">
            <x v="6"/>
          </reference>
          <reference field="3" count="1">
            <x v="8"/>
          </reference>
        </references>
      </pivotArea>
    </format>
    <format dxfId="149">
      <pivotArea dataOnly="0" labelOnly="1" fieldPosition="0">
        <references count="4">
          <reference field="0" count="1" selected="0">
            <x v="0"/>
          </reference>
          <reference field="1" count="1" selected="0">
            <x v="2"/>
          </reference>
          <reference field="2" count="1" selected="0">
            <x v="7"/>
          </reference>
          <reference field="3" count="1">
            <x v="23"/>
          </reference>
        </references>
      </pivotArea>
    </format>
    <format dxfId="148">
      <pivotArea dataOnly="0" labelOnly="1" fieldPosition="0">
        <references count="4">
          <reference field="0" count="1" selected="0">
            <x v="1"/>
          </reference>
          <reference field="1" count="1" selected="0">
            <x v="3"/>
          </reference>
          <reference field="2" count="1" selected="0">
            <x v="8"/>
          </reference>
          <reference field="3" count="1">
            <x v="0"/>
          </reference>
        </references>
      </pivotArea>
    </format>
    <format dxfId="147">
      <pivotArea dataOnly="0" labelOnly="1" fieldPosition="0">
        <references count="4">
          <reference field="0" count="1" selected="0">
            <x v="1"/>
          </reference>
          <reference field="1" count="1" selected="0">
            <x v="3"/>
          </reference>
          <reference field="2" count="1" selected="0">
            <x v="9"/>
          </reference>
          <reference field="3" count="1">
            <x v="38"/>
          </reference>
        </references>
      </pivotArea>
    </format>
    <format dxfId="146">
      <pivotArea dataOnly="0" labelOnly="1" fieldPosition="0">
        <references count="4">
          <reference field="0" count="1" selected="0">
            <x v="1"/>
          </reference>
          <reference field="1" count="1" selected="0">
            <x v="3"/>
          </reference>
          <reference field="2" count="1" selected="0">
            <x v="10"/>
          </reference>
          <reference field="3" count="1">
            <x v="27"/>
          </reference>
        </references>
      </pivotArea>
    </format>
    <format dxfId="145">
      <pivotArea dataOnly="0" labelOnly="1" fieldPosition="0">
        <references count="4">
          <reference field="0" count="1" selected="0">
            <x v="1"/>
          </reference>
          <reference field="1" count="1" selected="0">
            <x v="4"/>
          </reference>
          <reference field="2" count="1" selected="0">
            <x v="11"/>
          </reference>
          <reference field="3" count="1">
            <x v="37"/>
          </reference>
        </references>
      </pivotArea>
    </format>
    <format dxfId="144">
      <pivotArea dataOnly="0" labelOnly="1" fieldPosition="0">
        <references count="4">
          <reference field="0" count="1" selected="0">
            <x v="1"/>
          </reference>
          <reference field="1" count="1" selected="0">
            <x v="4"/>
          </reference>
          <reference field="2" count="1" selected="0">
            <x v="12"/>
          </reference>
          <reference field="3" count="1">
            <x v="36"/>
          </reference>
        </references>
      </pivotArea>
    </format>
    <format dxfId="143">
      <pivotArea dataOnly="0" labelOnly="1" fieldPosition="0">
        <references count="4">
          <reference field="0" count="1" selected="0">
            <x v="1"/>
          </reference>
          <reference field="1" count="1" selected="0">
            <x v="5"/>
          </reference>
          <reference field="2" count="1" selected="0">
            <x v="13"/>
          </reference>
          <reference field="3" count="1">
            <x v="11"/>
          </reference>
        </references>
      </pivotArea>
    </format>
    <format dxfId="142">
      <pivotArea dataOnly="0" labelOnly="1" fieldPosition="0">
        <references count="4">
          <reference field="0" count="1" selected="0">
            <x v="1"/>
          </reference>
          <reference field="1" count="1" selected="0">
            <x v="5"/>
          </reference>
          <reference field="2" count="1" selected="0">
            <x v="14"/>
          </reference>
          <reference field="3" count="1">
            <x v="15"/>
          </reference>
        </references>
      </pivotArea>
    </format>
    <format dxfId="141">
      <pivotArea dataOnly="0" labelOnly="1" fieldPosition="0">
        <references count="4">
          <reference field="0" count="1" selected="0">
            <x v="2"/>
          </reference>
          <reference field="1" count="1" selected="0">
            <x v="6"/>
          </reference>
          <reference field="2" count="1" selected="0">
            <x v="15"/>
          </reference>
          <reference field="3" count="1">
            <x v="30"/>
          </reference>
        </references>
      </pivotArea>
    </format>
    <format dxfId="140">
      <pivotArea dataOnly="0" labelOnly="1" fieldPosition="0">
        <references count="4">
          <reference field="0" count="1" selected="0">
            <x v="2"/>
          </reference>
          <reference field="1" count="1" selected="0">
            <x v="7"/>
          </reference>
          <reference field="2" count="1" selected="0">
            <x v="16"/>
          </reference>
          <reference field="3" count="1">
            <x v="35"/>
          </reference>
        </references>
      </pivotArea>
    </format>
    <format dxfId="139">
      <pivotArea dataOnly="0" labelOnly="1" fieldPosition="0">
        <references count="4">
          <reference field="0" count="1" selected="0">
            <x v="2"/>
          </reference>
          <reference field="1" count="1" selected="0">
            <x v="7"/>
          </reference>
          <reference field="2" count="1" selected="0">
            <x v="17"/>
          </reference>
          <reference field="3" count="1">
            <x v="32"/>
          </reference>
        </references>
      </pivotArea>
    </format>
    <format dxfId="138">
      <pivotArea dataOnly="0" labelOnly="1" fieldPosition="0">
        <references count="4">
          <reference field="0" count="1" selected="0">
            <x v="2"/>
          </reference>
          <reference field="1" count="1" selected="0">
            <x v="8"/>
          </reference>
          <reference field="2" count="1" selected="0">
            <x v="18"/>
          </reference>
          <reference field="3" count="1">
            <x v="26"/>
          </reference>
        </references>
      </pivotArea>
    </format>
    <format dxfId="137">
      <pivotArea dataOnly="0" labelOnly="1" fieldPosition="0">
        <references count="4">
          <reference field="0" count="1" selected="0">
            <x v="2"/>
          </reference>
          <reference field="1" count="1" selected="0">
            <x v="8"/>
          </reference>
          <reference field="2" count="1" selected="0">
            <x v="19"/>
          </reference>
          <reference field="3" count="1">
            <x v="33"/>
          </reference>
        </references>
      </pivotArea>
    </format>
    <format dxfId="136">
      <pivotArea dataOnly="0" labelOnly="1" fieldPosition="0">
        <references count="4">
          <reference field="0" count="1" selected="0">
            <x v="2"/>
          </reference>
          <reference field="1" count="1" selected="0">
            <x v="8"/>
          </reference>
          <reference field="2" count="1" selected="0">
            <x v="20"/>
          </reference>
          <reference field="3" count="1">
            <x v="16"/>
          </reference>
        </references>
      </pivotArea>
    </format>
    <format dxfId="135">
      <pivotArea dataOnly="0" labelOnly="1" fieldPosition="0">
        <references count="4">
          <reference field="0" count="1" selected="0">
            <x v="3"/>
          </reference>
          <reference field="1" count="1" selected="0">
            <x v="9"/>
          </reference>
          <reference field="2" count="1" selected="0">
            <x v="21"/>
          </reference>
          <reference field="3" count="1">
            <x v="12"/>
          </reference>
        </references>
      </pivotArea>
    </format>
    <format dxfId="134">
      <pivotArea dataOnly="0" labelOnly="1" fieldPosition="0">
        <references count="4">
          <reference field="0" count="1" selected="0">
            <x v="3"/>
          </reference>
          <reference field="1" count="1" selected="0">
            <x v="9"/>
          </reference>
          <reference field="2" count="1" selected="0">
            <x v="22"/>
          </reference>
          <reference field="3" count="1">
            <x v="44"/>
          </reference>
        </references>
      </pivotArea>
    </format>
    <format dxfId="133">
      <pivotArea dataOnly="0" labelOnly="1" fieldPosition="0">
        <references count="4">
          <reference field="0" count="1" selected="0">
            <x v="3"/>
          </reference>
          <reference field="1" count="1" selected="0">
            <x v="10"/>
          </reference>
          <reference field="2" count="1" selected="0">
            <x v="23"/>
          </reference>
          <reference field="3" count="1">
            <x v="42"/>
          </reference>
        </references>
      </pivotArea>
    </format>
    <format dxfId="132">
      <pivotArea dataOnly="0" labelOnly="1" fieldPosition="0">
        <references count="4">
          <reference field="0" count="1" selected="0">
            <x v="3"/>
          </reference>
          <reference field="1" count="1" selected="0">
            <x v="10"/>
          </reference>
          <reference field="2" count="1" selected="0">
            <x v="24"/>
          </reference>
          <reference field="3" count="1">
            <x v="14"/>
          </reference>
        </references>
      </pivotArea>
    </format>
    <format dxfId="131">
      <pivotArea dataOnly="0" labelOnly="1" fieldPosition="0">
        <references count="4">
          <reference field="0" count="1" selected="0">
            <x v="3"/>
          </reference>
          <reference field="1" count="1" selected="0">
            <x v="10"/>
          </reference>
          <reference field="2" count="1" selected="0">
            <x v="25"/>
          </reference>
          <reference field="3" count="1">
            <x v="18"/>
          </reference>
        </references>
      </pivotArea>
    </format>
    <format dxfId="130">
      <pivotArea dataOnly="0" labelOnly="1" fieldPosition="0">
        <references count="4">
          <reference field="0" count="1" selected="0">
            <x v="4"/>
          </reference>
          <reference field="1" count="1" selected="0">
            <x v="11"/>
          </reference>
          <reference field="2" count="1" selected="0">
            <x v="26"/>
          </reference>
          <reference field="3" count="1">
            <x v="1"/>
          </reference>
        </references>
      </pivotArea>
    </format>
    <format dxfId="129">
      <pivotArea dataOnly="0" labelOnly="1" fieldPosition="0">
        <references count="4">
          <reference field="0" count="1" selected="0">
            <x v="4"/>
          </reference>
          <reference field="1" count="1" selected="0">
            <x v="11"/>
          </reference>
          <reference field="2" count="1" selected="0">
            <x v="27"/>
          </reference>
          <reference field="3" count="1">
            <x v="47"/>
          </reference>
        </references>
      </pivotArea>
    </format>
    <format dxfId="128">
      <pivotArea dataOnly="0" labelOnly="1" fieldPosition="0">
        <references count="4">
          <reference field="0" count="1" selected="0">
            <x v="5"/>
          </reference>
          <reference field="1" count="1" selected="0">
            <x v="12"/>
          </reference>
          <reference field="2" count="1" selected="0">
            <x v="28"/>
          </reference>
          <reference field="3" count="1">
            <x v="9"/>
          </reference>
        </references>
      </pivotArea>
    </format>
    <format dxfId="127">
      <pivotArea dataOnly="0" labelOnly="1" fieldPosition="0">
        <references count="4">
          <reference field="0" count="1" selected="0">
            <x v="5"/>
          </reference>
          <reference field="1" count="1" selected="0">
            <x v="12"/>
          </reference>
          <reference field="2" count="1" selected="0">
            <x v="29"/>
          </reference>
          <reference field="3" count="1">
            <x v="6"/>
          </reference>
        </references>
      </pivotArea>
    </format>
    <format dxfId="126">
      <pivotArea dataOnly="0" labelOnly="1" fieldPosition="0">
        <references count="4">
          <reference field="0" count="1" selected="0">
            <x v="5"/>
          </reference>
          <reference field="1" count="1" selected="0">
            <x v="12"/>
          </reference>
          <reference field="2" count="1" selected="0">
            <x v="30"/>
          </reference>
          <reference field="3" count="1">
            <x v="10"/>
          </reference>
        </references>
      </pivotArea>
    </format>
    <format dxfId="125">
      <pivotArea dataOnly="0" labelOnly="1" fieldPosition="0">
        <references count="4">
          <reference field="0" count="1" selected="0">
            <x v="6"/>
          </reference>
          <reference field="1" count="1" selected="0">
            <x v="13"/>
          </reference>
          <reference field="2" count="1" selected="0">
            <x v="31"/>
          </reference>
          <reference field="3" count="1">
            <x v="21"/>
          </reference>
        </references>
      </pivotArea>
    </format>
    <format dxfId="124">
      <pivotArea dataOnly="0" labelOnly="1" fieldPosition="0">
        <references count="4">
          <reference field="0" count="1" selected="0">
            <x v="6"/>
          </reference>
          <reference field="1" count="1" selected="0">
            <x v="13"/>
          </reference>
          <reference field="2" count="1" selected="0">
            <x v="32"/>
          </reference>
          <reference field="3" count="1">
            <x v="24"/>
          </reference>
        </references>
      </pivotArea>
    </format>
    <format dxfId="123">
      <pivotArea dataOnly="0" labelOnly="1" fieldPosition="0">
        <references count="4">
          <reference field="0" count="1" selected="0">
            <x v="6"/>
          </reference>
          <reference field="1" count="1" selected="0">
            <x v="14"/>
          </reference>
          <reference field="2" count="1" selected="0">
            <x v="33"/>
          </reference>
          <reference field="3" count="1">
            <x v="19"/>
          </reference>
        </references>
      </pivotArea>
    </format>
    <format dxfId="122">
      <pivotArea dataOnly="0" labelOnly="1" fieldPosition="0">
        <references count="4">
          <reference field="0" count="1" selected="0">
            <x v="6"/>
          </reference>
          <reference field="1" count="1" selected="0">
            <x v="14"/>
          </reference>
          <reference field="2" count="1" selected="0">
            <x v="34"/>
          </reference>
          <reference field="3" count="1">
            <x v="43"/>
          </reference>
        </references>
      </pivotArea>
    </format>
    <format dxfId="121">
      <pivotArea dataOnly="0" labelOnly="1" fieldPosition="0">
        <references count="4">
          <reference field="0" count="1" selected="0">
            <x v="6"/>
          </reference>
          <reference field="1" count="1" selected="0">
            <x v="15"/>
          </reference>
          <reference field="2" count="1" selected="0">
            <x v="35"/>
          </reference>
          <reference field="3" count="1">
            <x v="5"/>
          </reference>
        </references>
      </pivotArea>
    </format>
    <format dxfId="120">
      <pivotArea dataOnly="0" labelOnly="1" fieldPosition="0">
        <references count="4">
          <reference field="0" count="1" selected="0">
            <x v="6"/>
          </reference>
          <reference field="1" count="1" selected="0">
            <x v="15"/>
          </reference>
          <reference field="2" count="1" selected="0">
            <x v="36"/>
          </reference>
          <reference field="3" count="1">
            <x v="28"/>
          </reference>
        </references>
      </pivotArea>
    </format>
    <format dxfId="119">
      <pivotArea dataOnly="0" labelOnly="1" fieldPosition="0">
        <references count="4">
          <reference field="0" count="1" selected="0">
            <x v="6"/>
          </reference>
          <reference field="1" count="1" selected="0">
            <x v="15"/>
          </reference>
          <reference field="2" count="1" selected="0">
            <x v="37"/>
          </reference>
          <reference field="3" count="1">
            <x v="45"/>
          </reference>
        </references>
      </pivotArea>
    </format>
    <format dxfId="118">
      <pivotArea dataOnly="0" labelOnly="1" fieldPosition="0">
        <references count="4">
          <reference field="0" count="1" selected="0">
            <x v="6"/>
          </reference>
          <reference field="1" count="1" selected="0">
            <x v="15"/>
          </reference>
          <reference field="2" count="1" selected="0">
            <x v="38"/>
          </reference>
          <reference field="3" count="1">
            <x v="31"/>
          </reference>
        </references>
      </pivotArea>
    </format>
    <format dxfId="117">
      <pivotArea dataOnly="0" labelOnly="1" fieldPosition="0">
        <references count="4">
          <reference field="0" count="1" selected="0">
            <x v="6"/>
          </reference>
          <reference field="1" count="1" selected="0">
            <x v="15"/>
          </reference>
          <reference field="2" count="1" selected="0">
            <x v="39"/>
          </reference>
          <reference field="3" count="1">
            <x v="4"/>
          </reference>
        </references>
      </pivotArea>
    </format>
    <format dxfId="116">
      <pivotArea dataOnly="0" labelOnly="1" fieldPosition="0">
        <references count="4">
          <reference field="0" count="1" selected="0">
            <x v="7"/>
          </reference>
          <reference field="1" count="1" selected="0">
            <x v="16"/>
          </reference>
          <reference field="2" count="1" selected="0">
            <x v="40"/>
          </reference>
          <reference field="3" count="1">
            <x v="13"/>
          </reference>
        </references>
      </pivotArea>
    </format>
    <format dxfId="115">
      <pivotArea dataOnly="0" labelOnly="1" fieldPosition="0">
        <references count="4">
          <reference field="0" count="1" selected="0">
            <x v="7"/>
          </reference>
          <reference field="1" count="1" selected="0">
            <x v="16"/>
          </reference>
          <reference field="2" count="1" selected="0">
            <x v="41"/>
          </reference>
          <reference field="3" count="1">
            <x v="25"/>
          </reference>
        </references>
      </pivotArea>
    </format>
    <format dxfId="114">
      <pivotArea dataOnly="0" labelOnly="1" fieldPosition="0">
        <references count="4">
          <reference field="0" count="1" selected="0">
            <x v="7"/>
          </reference>
          <reference field="1" count="1" selected="0">
            <x v="17"/>
          </reference>
          <reference field="2" count="1" selected="0">
            <x v="42"/>
          </reference>
          <reference field="3" count="1">
            <x v="3"/>
          </reference>
        </references>
      </pivotArea>
    </format>
    <format dxfId="113">
      <pivotArea dataOnly="0" labelOnly="1" fieldPosition="0">
        <references count="4">
          <reference field="0" count="1" selected="0">
            <x v="7"/>
          </reference>
          <reference field="1" count="1" selected="0">
            <x v="17"/>
          </reference>
          <reference field="2" count="1" selected="0">
            <x v="43"/>
          </reference>
          <reference field="3" count="1">
            <x v="29"/>
          </reference>
        </references>
      </pivotArea>
    </format>
    <format dxfId="112">
      <pivotArea dataOnly="0" labelOnly="1" fieldPosition="0">
        <references count="4">
          <reference field="0" count="1" selected="0">
            <x v="7"/>
          </reference>
          <reference field="1" count="1" selected="0">
            <x v="17"/>
          </reference>
          <reference field="2" count="1" selected="0">
            <x v="44"/>
          </reference>
          <reference field="3" count="1">
            <x v="34"/>
          </reference>
        </references>
      </pivotArea>
    </format>
    <format dxfId="111">
      <pivotArea dataOnly="0" labelOnly="1" fieldPosition="0">
        <references count="4">
          <reference field="0" count="1" selected="0">
            <x v="8"/>
          </reference>
          <reference field="1" count="1" selected="0">
            <x v="18"/>
          </reference>
          <reference field="2" count="1" selected="0">
            <x v="45"/>
          </reference>
          <reference field="3" count="1">
            <x v="7"/>
          </reference>
        </references>
      </pivotArea>
    </format>
    <format dxfId="110">
      <pivotArea dataOnly="0" labelOnly="1" fieldPosition="0">
        <references count="4">
          <reference field="0" count="1" selected="0">
            <x v="8"/>
          </reference>
          <reference field="1" count="1" selected="0">
            <x v="18"/>
          </reference>
          <reference field="2" count="1" selected="0">
            <x v="46"/>
          </reference>
          <reference field="3" count="1">
            <x v="48"/>
          </reference>
        </references>
      </pivotArea>
    </format>
    <format dxfId="109">
      <pivotArea dataOnly="0" labelOnly="1" fieldPosition="0">
        <references count="4">
          <reference field="0" count="1" selected="0">
            <x v="8"/>
          </reference>
          <reference field="1" count="1" selected="0">
            <x v="18"/>
          </reference>
          <reference field="2" count="1" selected="0">
            <x v="47"/>
          </reference>
          <reference field="3" count="1">
            <x v="22"/>
          </reference>
        </references>
      </pivotArea>
    </format>
    <format dxfId="108">
      <pivotArea dataOnly="0" labelOnly="1" fieldPosition="0">
        <references count="4">
          <reference field="0" count="1" selected="0">
            <x v="8"/>
          </reference>
          <reference field="1" count="1" selected="0">
            <x v="18"/>
          </reference>
          <reference field="2" count="1" selected="0">
            <x v="48"/>
          </reference>
          <reference field="3" count="1">
            <x v="49"/>
          </reference>
        </references>
      </pivotArea>
    </format>
    <format dxfId="107">
      <pivotArea dataOnly="0" labelOnly="1" fieldPosition="0">
        <references count="4">
          <reference field="0" count="1" selected="0">
            <x v="8"/>
          </reference>
          <reference field="1" count="1" selected="0">
            <x v="19"/>
          </reference>
          <reference field="2" count="1" selected="0">
            <x v="49"/>
          </reference>
          <reference field="3" count="1">
            <x v="39"/>
          </reference>
        </references>
      </pivotArea>
    </format>
    <format dxfId="106">
      <pivotArea dataOnly="0" labelOnly="1" fieldPosition="0">
        <references count="5">
          <reference field="0" count="1" selected="0">
            <x v="0"/>
          </reference>
          <reference field="1" count="1" selected="0">
            <x v="0"/>
          </reference>
          <reference field="2" count="1" selected="0">
            <x v="0"/>
          </reference>
          <reference field="3" count="1" selected="0">
            <x v="41"/>
          </reference>
          <reference field="4" count="1">
            <x v="6"/>
          </reference>
        </references>
      </pivotArea>
    </format>
    <format dxfId="105">
      <pivotArea dataOnly="0" labelOnly="1" fieldPosition="0">
        <references count="5">
          <reference field="0" count="1" selected="0">
            <x v="0"/>
          </reference>
          <reference field="1" count="1" selected="0">
            <x v="0"/>
          </reference>
          <reference field="2" count="1" selected="0">
            <x v="1"/>
          </reference>
          <reference field="3" count="1" selected="0">
            <x v="40"/>
          </reference>
          <reference field="4" count="1">
            <x v="13"/>
          </reference>
        </references>
      </pivotArea>
    </format>
    <format dxfId="104">
      <pivotArea dataOnly="0" labelOnly="1" fieldPosition="0">
        <references count="5">
          <reference field="0" count="1" selected="0">
            <x v="0"/>
          </reference>
          <reference field="1" count="1" selected="0">
            <x v="1"/>
          </reference>
          <reference field="2" count="1" selected="0">
            <x v="2"/>
          </reference>
          <reference field="3" count="1" selected="0">
            <x v="46"/>
          </reference>
          <reference field="4" count="1">
            <x v="9"/>
          </reference>
        </references>
      </pivotArea>
    </format>
    <format dxfId="103">
      <pivotArea dataOnly="0" labelOnly="1" fieldPosition="0">
        <references count="5">
          <reference field="0" count="1" selected="0">
            <x v="0"/>
          </reference>
          <reference field="1" count="1" selected="0">
            <x v="1"/>
          </reference>
          <reference field="2" count="1" selected="0">
            <x v="3"/>
          </reference>
          <reference field="3" count="1" selected="0">
            <x v="17"/>
          </reference>
          <reference field="4" count="1">
            <x v="6"/>
          </reference>
        </references>
      </pivotArea>
    </format>
    <format dxfId="102">
      <pivotArea dataOnly="0" labelOnly="1" fieldPosition="0">
        <references count="5">
          <reference field="0" count="1" selected="0">
            <x v="0"/>
          </reference>
          <reference field="1" count="1" selected="0">
            <x v="1"/>
          </reference>
          <reference field="2" count="1" selected="0">
            <x v="4"/>
          </reference>
          <reference field="3" count="1" selected="0">
            <x v="20"/>
          </reference>
          <reference field="4" count="1">
            <x v="8"/>
          </reference>
        </references>
      </pivotArea>
    </format>
    <format dxfId="101">
      <pivotArea dataOnly="0" labelOnly="1" fieldPosition="0">
        <references count="5">
          <reference field="0" count="1" selected="0">
            <x v="0"/>
          </reference>
          <reference field="1" count="1" selected="0">
            <x v="2"/>
          </reference>
          <reference field="2" count="1" selected="0">
            <x v="5"/>
          </reference>
          <reference field="3" count="1" selected="0">
            <x v="2"/>
          </reference>
          <reference field="4" count="1">
            <x v="9"/>
          </reference>
        </references>
      </pivotArea>
    </format>
    <format dxfId="100">
      <pivotArea dataOnly="0" labelOnly="1" fieldPosition="0">
        <references count="5">
          <reference field="0" count="1" selected="0">
            <x v="0"/>
          </reference>
          <reference field="1" count="1" selected="0">
            <x v="2"/>
          </reference>
          <reference field="2" count="1" selected="0">
            <x v="6"/>
          </reference>
          <reference field="3" count="1" selected="0">
            <x v="8"/>
          </reference>
          <reference field="4" count="1">
            <x v="11"/>
          </reference>
        </references>
      </pivotArea>
    </format>
    <format dxfId="99">
      <pivotArea dataOnly="0" labelOnly="1" fieldPosition="0">
        <references count="5">
          <reference field="0" count="1" selected="0">
            <x v="0"/>
          </reference>
          <reference field="1" count="1" selected="0">
            <x v="2"/>
          </reference>
          <reference field="2" count="1" selected="0">
            <x v="7"/>
          </reference>
          <reference field="3" count="1" selected="0">
            <x v="23"/>
          </reference>
          <reference field="4" count="1">
            <x v="14"/>
          </reference>
        </references>
      </pivotArea>
    </format>
    <format dxfId="98">
      <pivotArea dataOnly="0" labelOnly="1" fieldPosition="0">
        <references count="5">
          <reference field="0" count="1" selected="0">
            <x v="1"/>
          </reference>
          <reference field="1" count="1" selected="0">
            <x v="3"/>
          </reference>
          <reference field="2" count="1" selected="0">
            <x v="8"/>
          </reference>
          <reference field="3" count="1" selected="0">
            <x v="0"/>
          </reference>
          <reference field="4" count="1">
            <x v="6"/>
          </reference>
        </references>
      </pivotArea>
    </format>
    <format dxfId="97">
      <pivotArea dataOnly="0" labelOnly="1" fieldPosition="0">
        <references count="5">
          <reference field="0" count="1" selected="0">
            <x v="1"/>
          </reference>
          <reference field="1" count="1" selected="0">
            <x v="3"/>
          </reference>
          <reference field="2" count="1" selected="0">
            <x v="9"/>
          </reference>
          <reference field="3" count="1" selected="0">
            <x v="38"/>
          </reference>
          <reference field="4" count="1">
            <x v="17"/>
          </reference>
        </references>
      </pivotArea>
    </format>
    <format dxfId="96">
      <pivotArea dataOnly="0" labelOnly="1" fieldPosition="0">
        <references count="5">
          <reference field="0" count="1" selected="0">
            <x v="1"/>
          </reference>
          <reference field="1" count="1" selected="0">
            <x v="3"/>
          </reference>
          <reference field="2" count="1" selected="0">
            <x v="10"/>
          </reference>
          <reference field="3" count="1" selected="0">
            <x v="27"/>
          </reference>
          <reference field="4" count="1">
            <x v="6"/>
          </reference>
        </references>
      </pivotArea>
    </format>
    <format dxfId="95">
      <pivotArea dataOnly="0" labelOnly="1" fieldPosition="0">
        <references count="5">
          <reference field="0" count="1" selected="0">
            <x v="1"/>
          </reference>
          <reference field="1" count="1" selected="0">
            <x v="4"/>
          </reference>
          <reference field="2" count="1" selected="0">
            <x v="11"/>
          </reference>
          <reference field="3" count="1" selected="0">
            <x v="37"/>
          </reference>
          <reference field="4" count="1">
            <x v="15"/>
          </reference>
        </references>
      </pivotArea>
    </format>
    <format dxfId="94">
      <pivotArea dataOnly="0" labelOnly="1" fieldPosition="0">
        <references count="5">
          <reference field="0" count="1" selected="0">
            <x v="1"/>
          </reference>
          <reference field="1" count="1" selected="0">
            <x v="4"/>
          </reference>
          <reference field="2" count="1" selected="0">
            <x v="12"/>
          </reference>
          <reference field="3" count="1" selected="0">
            <x v="36"/>
          </reference>
          <reference field="4" count="1">
            <x v="6"/>
          </reference>
        </references>
      </pivotArea>
    </format>
    <format dxfId="93">
      <pivotArea dataOnly="0" labelOnly="1" fieldPosition="0">
        <references count="5">
          <reference field="0" count="1" selected="0">
            <x v="1"/>
          </reference>
          <reference field="1" count="1" selected="0">
            <x v="5"/>
          </reference>
          <reference field="2" count="1" selected="0">
            <x v="13"/>
          </reference>
          <reference field="3" count="1" selected="0">
            <x v="11"/>
          </reference>
          <reference field="4" count="1">
            <x v="17"/>
          </reference>
        </references>
      </pivotArea>
    </format>
    <format dxfId="92">
      <pivotArea dataOnly="0" labelOnly="1" fieldPosition="0">
        <references count="5">
          <reference field="0" count="1" selected="0">
            <x v="1"/>
          </reference>
          <reference field="1" count="1" selected="0">
            <x v="5"/>
          </reference>
          <reference field="2" count="1" selected="0">
            <x v="14"/>
          </reference>
          <reference field="3" count="1" selected="0">
            <x v="15"/>
          </reference>
          <reference field="4" count="1">
            <x v="6"/>
          </reference>
        </references>
      </pivotArea>
    </format>
    <format dxfId="91">
      <pivotArea dataOnly="0" labelOnly="1" fieldPosition="0">
        <references count="5">
          <reference field="0" count="1" selected="0">
            <x v="2"/>
          </reference>
          <reference field="1" count="1" selected="0">
            <x v="6"/>
          </reference>
          <reference field="2" count="1" selected="0">
            <x v="15"/>
          </reference>
          <reference field="3" count="1" selected="0">
            <x v="30"/>
          </reference>
          <reference field="4" count="1">
            <x v="6"/>
          </reference>
        </references>
      </pivotArea>
    </format>
    <format dxfId="90">
      <pivotArea dataOnly="0" labelOnly="1" fieldPosition="0">
        <references count="5">
          <reference field="0" count="1" selected="0">
            <x v="2"/>
          </reference>
          <reference field="1" count="1" selected="0">
            <x v="7"/>
          </reference>
          <reference field="2" count="1" selected="0">
            <x v="16"/>
          </reference>
          <reference field="3" count="1" selected="0">
            <x v="35"/>
          </reference>
          <reference field="4" count="1">
            <x v="6"/>
          </reference>
        </references>
      </pivotArea>
    </format>
    <format dxfId="89">
      <pivotArea dataOnly="0" labelOnly="1" fieldPosition="0">
        <references count="5">
          <reference field="0" count="1" selected="0">
            <x v="2"/>
          </reference>
          <reference field="1" count="1" selected="0">
            <x v="8"/>
          </reference>
          <reference field="2" count="1" selected="0">
            <x v="18"/>
          </reference>
          <reference field="3" count="1" selected="0">
            <x v="26"/>
          </reference>
          <reference field="4" count="1">
            <x v="6"/>
          </reference>
        </references>
      </pivotArea>
    </format>
    <format dxfId="88">
      <pivotArea dataOnly="0" labelOnly="1" fieldPosition="0">
        <references count="5">
          <reference field="0" count="1" selected="0">
            <x v="3"/>
          </reference>
          <reference field="1" count="1" selected="0">
            <x v="9"/>
          </reference>
          <reference field="2" count="1" selected="0">
            <x v="21"/>
          </reference>
          <reference field="3" count="1" selected="0">
            <x v="12"/>
          </reference>
          <reference field="4" count="1">
            <x v="18"/>
          </reference>
        </references>
      </pivotArea>
    </format>
    <format dxfId="87">
      <pivotArea dataOnly="0" labelOnly="1" fieldPosition="0">
        <references count="5">
          <reference field="0" count="1" selected="0">
            <x v="3"/>
          </reference>
          <reference field="1" count="1" selected="0">
            <x v="9"/>
          </reference>
          <reference field="2" count="1" selected="0">
            <x v="22"/>
          </reference>
          <reference field="3" count="1" selected="0">
            <x v="44"/>
          </reference>
          <reference field="4" count="1">
            <x v="20"/>
          </reference>
        </references>
      </pivotArea>
    </format>
    <format dxfId="86">
      <pivotArea dataOnly="0" labelOnly="1" fieldPosition="0">
        <references count="5">
          <reference field="0" count="1" selected="0">
            <x v="3"/>
          </reference>
          <reference field="1" count="1" selected="0">
            <x v="10"/>
          </reference>
          <reference field="2" count="1" selected="0">
            <x v="23"/>
          </reference>
          <reference field="3" count="1" selected="0">
            <x v="42"/>
          </reference>
          <reference field="4" count="1">
            <x v="18"/>
          </reference>
        </references>
      </pivotArea>
    </format>
    <format dxfId="85">
      <pivotArea dataOnly="0" labelOnly="1" fieldPosition="0">
        <references count="5">
          <reference field="0" count="1" selected="0">
            <x v="3"/>
          </reference>
          <reference field="1" count="1" selected="0">
            <x v="10"/>
          </reference>
          <reference field="2" count="1" selected="0">
            <x v="25"/>
          </reference>
          <reference field="3" count="1" selected="0">
            <x v="18"/>
          </reference>
          <reference field="4" count="1">
            <x v="20"/>
          </reference>
        </references>
      </pivotArea>
    </format>
    <format dxfId="84">
      <pivotArea dataOnly="0" labelOnly="1" fieldPosition="0">
        <references count="5">
          <reference field="0" count="1" selected="0">
            <x v="4"/>
          </reference>
          <reference field="1" count="1" selected="0">
            <x v="11"/>
          </reference>
          <reference field="2" count="1" selected="0">
            <x v="26"/>
          </reference>
          <reference field="3" count="1" selected="0">
            <x v="1"/>
          </reference>
          <reference field="4" count="1">
            <x v="12"/>
          </reference>
        </references>
      </pivotArea>
    </format>
    <format dxfId="83">
      <pivotArea dataOnly="0" labelOnly="1" fieldPosition="0">
        <references count="5">
          <reference field="0" count="1" selected="0">
            <x v="4"/>
          </reference>
          <reference field="1" count="1" selected="0">
            <x v="11"/>
          </reference>
          <reference field="2" count="1" selected="0">
            <x v="27"/>
          </reference>
          <reference field="3" count="1" selected="0">
            <x v="47"/>
          </reference>
          <reference field="4" count="1">
            <x v="16"/>
          </reference>
        </references>
      </pivotArea>
    </format>
    <format dxfId="82">
      <pivotArea dataOnly="0" labelOnly="1" fieldPosition="0">
        <references count="5">
          <reference field="0" count="1" selected="0">
            <x v="5"/>
          </reference>
          <reference field="1" count="1" selected="0">
            <x v="12"/>
          </reference>
          <reference field="2" count="1" selected="0">
            <x v="28"/>
          </reference>
          <reference field="3" count="1" selected="0">
            <x v="9"/>
          </reference>
          <reference field="4" count="1">
            <x v="7"/>
          </reference>
        </references>
      </pivotArea>
    </format>
    <format dxfId="81">
      <pivotArea dataOnly="0" labelOnly="1" fieldPosition="0">
        <references count="5">
          <reference field="0" count="1" selected="0">
            <x v="5"/>
          </reference>
          <reference field="1" count="1" selected="0">
            <x v="12"/>
          </reference>
          <reference field="2" count="1" selected="0">
            <x v="29"/>
          </reference>
          <reference field="3" count="1" selected="0">
            <x v="6"/>
          </reference>
          <reference field="4" count="1">
            <x v="12"/>
          </reference>
        </references>
      </pivotArea>
    </format>
    <format dxfId="80">
      <pivotArea dataOnly="0" labelOnly="1" fieldPosition="0">
        <references count="5">
          <reference field="0" count="1" selected="0">
            <x v="5"/>
          </reference>
          <reference field="1" count="1" selected="0">
            <x v="12"/>
          </reference>
          <reference field="2" count="1" selected="0">
            <x v="30"/>
          </reference>
          <reference field="3" count="1" selected="0">
            <x v="10"/>
          </reference>
          <reference field="4" count="1">
            <x v="19"/>
          </reference>
        </references>
      </pivotArea>
    </format>
    <format dxfId="79">
      <pivotArea dataOnly="0" labelOnly="1" fieldPosition="0">
        <references count="5">
          <reference field="0" count="1" selected="0">
            <x v="6"/>
          </reference>
          <reference field="1" count="1" selected="0">
            <x v="13"/>
          </reference>
          <reference field="2" count="1" selected="0">
            <x v="31"/>
          </reference>
          <reference field="3" count="1" selected="0">
            <x v="21"/>
          </reference>
          <reference field="4" count="1">
            <x v="15"/>
          </reference>
        </references>
      </pivotArea>
    </format>
    <format dxfId="78">
      <pivotArea dataOnly="0" labelOnly="1" fieldPosition="0">
        <references count="5">
          <reference field="0" count="1" selected="0">
            <x v="6"/>
          </reference>
          <reference field="1" count="1" selected="0">
            <x v="13"/>
          </reference>
          <reference field="2" count="1" selected="0">
            <x v="32"/>
          </reference>
          <reference field="3" count="1" selected="0">
            <x v="24"/>
          </reference>
          <reference field="4" count="1">
            <x v="0"/>
          </reference>
        </references>
      </pivotArea>
    </format>
    <format dxfId="77">
      <pivotArea dataOnly="0" labelOnly="1" fieldPosition="0">
        <references count="5">
          <reference field="0" count="1" selected="0">
            <x v="6"/>
          </reference>
          <reference field="1" count="1" selected="0">
            <x v="14"/>
          </reference>
          <reference field="2" count="1" selected="0">
            <x v="33"/>
          </reference>
          <reference field="3" count="1" selected="0">
            <x v="19"/>
          </reference>
          <reference field="4" count="1">
            <x v="19"/>
          </reference>
        </references>
      </pivotArea>
    </format>
    <format dxfId="76">
      <pivotArea dataOnly="0" labelOnly="1" fieldPosition="0">
        <references count="5">
          <reference field="0" count="1" selected="0">
            <x v="6"/>
          </reference>
          <reference field="1" count="1" selected="0">
            <x v="14"/>
          </reference>
          <reference field="2" count="1" selected="0">
            <x v="34"/>
          </reference>
          <reference field="3" count="1" selected="0">
            <x v="43"/>
          </reference>
          <reference field="4" count="1">
            <x v="6"/>
          </reference>
        </references>
      </pivotArea>
    </format>
    <format dxfId="75">
      <pivotArea dataOnly="0" labelOnly="1" fieldPosition="0">
        <references count="5">
          <reference field="0" count="1" selected="0">
            <x v="6"/>
          </reference>
          <reference field="1" count="1" selected="0">
            <x v="15"/>
          </reference>
          <reference field="2" count="1" selected="0">
            <x v="35"/>
          </reference>
          <reference field="3" count="1" selected="0">
            <x v="5"/>
          </reference>
          <reference field="4" count="1">
            <x v="1"/>
          </reference>
        </references>
      </pivotArea>
    </format>
    <format dxfId="74">
      <pivotArea dataOnly="0" labelOnly="1" fieldPosition="0">
        <references count="5">
          <reference field="0" count="1" selected="0">
            <x v="6"/>
          </reference>
          <reference field="1" count="1" selected="0">
            <x v="15"/>
          </reference>
          <reference field="2" count="1" selected="0">
            <x v="36"/>
          </reference>
          <reference field="3" count="1" selected="0">
            <x v="28"/>
          </reference>
          <reference field="4" count="1">
            <x v="6"/>
          </reference>
        </references>
      </pivotArea>
    </format>
    <format dxfId="73">
      <pivotArea dataOnly="0" labelOnly="1" fieldPosition="0">
        <references count="5">
          <reference field="0" count="1" selected="0">
            <x v="7"/>
          </reference>
          <reference field="1" count="1" selected="0">
            <x v="16"/>
          </reference>
          <reference field="2" count="1" selected="0">
            <x v="40"/>
          </reference>
          <reference field="3" count="1" selected="0">
            <x v="13"/>
          </reference>
          <reference field="4" count="1">
            <x v="2"/>
          </reference>
        </references>
      </pivotArea>
    </format>
    <format dxfId="72">
      <pivotArea dataOnly="0" labelOnly="1" fieldPosition="0">
        <references count="5">
          <reference field="0" count="1" selected="0">
            <x v="7"/>
          </reference>
          <reference field="1" count="1" selected="0">
            <x v="16"/>
          </reference>
          <reference field="2" count="1" selected="0">
            <x v="41"/>
          </reference>
          <reference field="3" count="1" selected="0">
            <x v="25"/>
          </reference>
          <reference field="4" count="1">
            <x v="10"/>
          </reference>
        </references>
      </pivotArea>
    </format>
    <format dxfId="71">
      <pivotArea dataOnly="0" labelOnly="1" fieldPosition="0">
        <references count="5">
          <reference field="0" count="1" selected="0">
            <x v="7"/>
          </reference>
          <reference field="1" count="1" selected="0">
            <x v="17"/>
          </reference>
          <reference field="2" count="1" selected="0">
            <x v="42"/>
          </reference>
          <reference field="3" count="1" selected="0">
            <x v="3"/>
          </reference>
          <reference field="4" count="1">
            <x v="19"/>
          </reference>
        </references>
      </pivotArea>
    </format>
    <format dxfId="70">
      <pivotArea dataOnly="0" labelOnly="1" fieldPosition="0">
        <references count="5">
          <reference field="0" count="1" selected="0">
            <x v="7"/>
          </reference>
          <reference field="1" count="1" selected="0">
            <x v="17"/>
          </reference>
          <reference field="2" count="1" selected="0">
            <x v="43"/>
          </reference>
          <reference field="3" count="1" selected="0">
            <x v="29"/>
          </reference>
          <reference field="4" count="1">
            <x v="6"/>
          </reference>
        </references>
      </pivotArea>
    </format>
    <format dxfId="69">
      <pivotArea dataOnly="0" labelOnly="1" fieldPosition="0">
        <references count="5">
          <reference field="0" count="1" selected="0">
            <x v="7"/>
          </reference>
          <reference field="1" count="1" selected="0">
            <x v="17"/>
          </reference>
          <reference field="2" count="1" selected="0">
            <x v="44"/>
          </reference>
          <reference field="3" count="1" selected="0">
            <x v="34"/>
          </reference>
          <reference field="4" count="1">
            <x v="4"/>
          </reference>
        </references>
      </pivotArea>
    </format>
    <format dxfId="68">
      <pivotArea dataOnly="0" labelOnly="1" fieldPosition="0">
        <references count="5">
          <reference field="0" count="1" selected="0">
            <x v="8"/>
          </reference>
          <reference field="1" count="1" selected="0">
            <x v="18"/>
          </reference>
          <reference field="2" count="1" selected="0">
            <x v="45"/>
          </reference>
          <reference field="3" count="1" selected="0">
            <x v="7"/>
          </reference>
          <reference field="4" count="1">
            <x v="3"/>
          </reference>
        </references>
      </pivotArea>
    </format>
    <format dxfId="67">
      <pivotArea dataOnly="0" labelOnly="1" fieldPosition="0">
        <references count="5">
          <reference field="0" count="1" selected="0">
            <x v="8"/>
          </reference>
          <reference field="1" count="1" selected="0">
            <x v="19"/>
          </reference>
          <reference field="2" count="1" selected="0">
            <x v="49"/>
          </reference>
          <reference field="3" count="1" selected="0">
            <x v="39"/>
          </reference>
          <reference field="4" count="1">
            <x v="5"/>
          </reference>
        </references>
      </pivotArea>
    </format>
    <format dxfId="66">
      <pivotArea dataOnly="0" labelOnly="1" fieldPosition="0">
        <references count="1">
          <reference field="0" count="1">
            <x v="0"/>
          </reference>
        </references>
      </pivotArea>
    </format>
    <format dxfId="65">
      <pivotArea dataOnly="0" labelOnly="1" fieldPosition="0">
        <references count="1">
          <reference field="0" count="1">
            <x v="1"/>
          </reference>
        </references>
      </pivotArea>
    </format>
    <format dxfId="64">
      <pivotArea dataOnly="0" labelOnly="1" fieldPosition="0">
        <references count="1">
          <reference field="0" count="1">
            <x v="2"/>
          </reference>
        </references>
      </pivotArea>
    </format>
    <format dxfId="63">
      <pivotArea dataOnly="0" labelOnly="1" fieldPosition="0">
        <references count="1">
          <reference field="0" count="1">
            <x v="3"/>
          </reference>
        </references>
      </pivotArea>
    </format>
    <format dxfId="62">
      <pivotArea dataOnly="0" labelOnly="1" fieldPosition="0">
        <references count="1">
          <reference field="0" count="1">
            <x v="4"/>
          </reference>
        </references>
      </pivotArea>
    </format>
    <format dxfId="61">
      <pivotArea dataOnly="0" labelOnly="1" fieldPosition="0">
        <references count="1">
          <reference field="0" count="1">
            <x v="5"/>
          </reference>
        </references>
      </pivotArea>
    </format>
    <format dxfId="60">
      <pivotArea dataOnly="0" labelOnly="1" fieldPosition="0">
        <references count="1">
          <reference field="0" count="1">
            <x v="6"/>
          </reference>
        </references>
      </pivotArea>
    </format>
    <format dxfId="59">
      <pivotArea dataOnly="0" labelOnly="1" fieldPosition="0">
        <references count="1">
          <reference field="0" count="1">
            <x v="7"/>
          </reference>
        </references>
      </pivotArea>
    </format>
    <format dxfId="58">
      <pivotArea dataOnly="0" labelOnly="1" fieldPosition="0">
        <references count="1">
          <reference field="0" count="1">
            <x v="8"/>
          </reference>
        </references>
      </pivotArea>
    </format>
    <format dxfId="57">
      <pivotArea dataOnly="0" labelOnly="1" fieldPosition="0">
        <references count="2">
          <reference field="0" count="1" selected="0">
            <x v="0"/>
          </reference>
          <reference field="1" count="1">
            <x v="0"/>
          </reference>
        </references>
      </pivotArea>
    </format>
    <format dxfId="56">
      <pivotArea dataOnly="0" labelOnly="1" fieldPosition="0">
        <references count="2">
          <reference field="0" count="1" selected="0">
            <x v="0"/>
          </reference>
          <reference field="1" count="1">
            <x v="1"/>
          </reference>
        </references>
      </pivotArea>
    </format>
    <format dxfId="55">
      <pivotArea dataOnly="0" labelOnly="1" fieldPosition="0">
        <references count="2">
          <reference field="0" count="1" selected="0">
            <x v="0"/>
          </reference>
          <reference field="1" count="1">
            <x v="2"/>
          </reference>
        </references>
      </pivotArea>
    </format>
    <format dxfId="54">
      <pivotArea dataOnly="0" labelOnly="1" fieldPosition="0">
        <references count="2">
          <reference field="0" count="1" selected="0">
            <x v="1"/>
          </reference>
          <reference field="1" count="1">
            <x v="3"/>
          </reference>
        </references>
      </pivotArea>
    </format>
    <format dxfId="53">
      <pivotArea dataOnly="0" labelOnly="1" fieldPosition="0">
        <references count="2">
          <reference field="0" count="1" selected="0">
            <x v="1"/>
          </reference>
          <reference field="1" count="1">
            <x v="4"/>
          </reference>
        </references>
      </pivotArea>
    </format>
    <format dxfId="52">
      <pivotArea dataOnly="0" labelOnly="1" fieldPosition="0">
        <references count="2">
          <reference field="0" count="1" selected="0">
            <x v="1"/>
          </reference>
          <reference field="1" count="1">
            <x v="5"/>
          </reference>
        </references>
      </pivotArea>
    </format>
    <format dxfId="51">
      <pivotArea dataOnly="0" labelOnly="1" fieldPosition="0">
        <references count="2">
          <reference field="0" count="1" selected="0">
            <x v="2"/>
          </reference>
          <reference field="1" count="1">
            <x v="6"/>
          </reference>
        </references>
      </pivotArea>
    </format>
    <format dxfId="50">
      <pivotArea dataOnly="0" labelOnly="1" fieldPosition="0">
        <references count="2">
          <reference field="0" count="1" selected="0">
            <x v="2"/>
          </reference>
          <reference field="1" count="1">
            <x v="7"/>
          </reference>
        </references>
      </pivotArea>
    </format>
    <format dxfId="49">
      <pivotArea dataOnly="0" labelOnly="1" fieldPosition="0">
        <references count="2">
          <reference field="0" count="1" selected="0">
            <x v="2"/>
          </reference>
          <reference field="1" count="1">
            <x v="8"/>
          </reference>
        </references>
      </pivotArea>
    </format>
    <format dxfId="48">
      <pivotArea dataOnly="0" labelOnly="1" fieldPosition="0">
        <references count="2">
          <reference field="0" count="1" selected="0">
            <x v="3"/>
          </reference>
          <reference field="1" count="1">
            <x v="9"/>
          </reference>
        </references>
      </pivotArea>
    </format>
    <format dxfId="47">
      <pivotArea dataOnly="0" labelOnly="1" fieldPosition="0">
        <references count="2">
          <reference field="0" count="1" selected="0">
            <x v="3"/>
          </reference>
          <reference field="1" count="1">
            <x v="10"/>
          </reference>
        </references>
      </pivotArea>
    </format>
    <format dxfId="46">
      <pivotArea dataOnly="0" labelOnly="1" fieldPosition="0">
        <references count="2">
          <reference field="0" count="1" selected="0">
            <x v="4"/>
          </reference>
          <reference field="1" count="1">
            <x v="11"/>
          </reference>
        </references>
      </pivotArea>
    </format>
    <format dxfId="45">
      <pivotArea dataOnly="0" labelOnly="1" fieldPosition="0">
        <references count="2">
          <reference field="0" count="1" selected="0">
            <x v="5"/>
          </reference>
          <reference field="1" count="1">
            <x v="12"/>
          </reference>
        </references>
      </pivotArea>
    </format>
    <format dxfId="44">
      <pivotArea dataOnly="0" labelOnly="1" fieldPosition="0">
        <references count="2">
          <reference field="0" count="1" selected="0">
            <x v="6"/>
          </reference>
          <reference field="1" count="1">
            <x v="13"/>
          </reference>
        </references>
      </pivotArea>
    </format>
    <format dxfId="43">
      <pivotArea dataOnly="0" labelOnly="1" fieldPosition="0">
        <references count="2">
          <reference field="0" count="1" selected="0">
            <x v="6"/>
          </reference>
          <reference field="1" count="1">
            <x v="14"/>
          </reference>
        </references>
      </pivotArea>
    </format>
    <format dxfId="42">
      <pivotArea dataOnly="0" labelOnly="1" fieldPosition="0">
        <references count="2">
          <reference field="0" count="1" selected="0">
            <x v="6"/>
          </reference>
          <reference field="1" count="1">
            <x v="15"/>
          </reference>
        </references>
      </pivotArea>
    </format>
    <format dxfId="41">
      <pivotArea dataOnly="0" labelOnly="1" fieldPosition="0">
        <references count="2">
          <reference field="0" count="1" selected="0">
            <x v="7"/>
          </reference>
          <reference field="1" count="1">
            <x v="16"/>
          </reference>
        </references>
      </pivotArea>
    </format>
    <format dxfId="40">
      <pivotArea dataOnly="0" labelOnly="1" fieldPosition="0">
        <references count="2">
          <reference field="0" count="1" selected="0">
            <x v="7"/>
          </reference>
          <reference field="1" count="1">
            <x v="17"/>
          </reference>
        </references>
      </pivotArea>
    </format>
    <format dxfId="39">
      <pivotArea dataOnly="0" labelOnly="1" fieldPosition="0">
        <references count="2">
          <reference field="0" count="1" selected="0">
            <x v="8"/>
          </reference>
          <reference field="1" count="1">
            <x v="18"/>
          </reference>
        </references>
      </pivotArea>
    </format>
    <format dxfId="38">
      <pivotArea dataOnly="0" labelOnly="1" fieldPosition="0">
        <references count="2">
          <reference field="0" count="1" selected="0">
            <x v="8"/>
          </reference>
          <reference field="1" count="1">
            <x v="19"/>
          </reference>
        </references>
      </pivotArea>
    </format>
    <format dxfId="37">
      <pivotArea dataOnly="0" labelOnly="1" fieldPosition="0">
        <references count="1">
          <reference field="0" count="1">
            <x v="0"/>
          </reference>
        </references>
      </pivotArea>
    </format>
    <format dxfId="36">
      <pivotArea dataOnly="0" labelOnly="1" fieldPosition="0">
        <references count="1">
          <reference field="0" count="1">
            <x v="1"/>
          </reference>
        </references>
      </pivotArea>
    </format>
    <format dxfId="35">
      <pivotArea dataOnly="0" labelOnly="1" fieldPosition="0">
        <references count="1">
          <reference field="0" count="1">
            <x v="2"/>
          </reference>
        </references>
      </pivotArea>
    </format>
    <format dxfId="34">
      <pivotArea dataOnly="0" labelOnly="1" fieldPosition="0">
        <references count="1">
          <reference field="0" count="1">
            <x v="3"/>
          </reference>
        </references>
      </pivotArea>
    </format>
    <format dxfId="33">
      <pivotArea dataOnly="0" labelOnly="1" fieldPosition="0">
        <references count="1">
          <reference field="0" count="1">
            <x v="4"/>
          </reference>
        </references>
      </pivotArea>
    </format>
    <format dxfId="32">
      <pivotArea dataOnly="0" labelOnly="1" fieldPosition="0">
        <references count="1">
          <reference field="0" count="1">
            <x v="5"/>
          </reference>
        </references>
      </pivotArea>
    </format>
    <format dxfId="31">
      <pivotArea dataOnly="0" labelOnly="1" fieldPosition="0">
        <references count="1">
          <reference field="0" count="1">
            <x v="6"/>
          </reference>
        </references>
      </pivotArea>
    </format>
    <format dxfId="30">
      <pivotArea dataOnly="0" labelOnly="1" fieldPosition="0">
        <references count="1">
          <reference field="0" count="1">
            <x v="7"/>
          </reference>
        </references>
      </pivotArea>
    </format>
    <format dxfId="29">
      <pivotArea dataOnly="0" labelOnly="1" fieldPosition="0">
        <references count="1">
          <reference field="0" count="1">
            <x v="8"/>
          </reference>
        </references>
      </pivotArea>
    </format>
    <format dxfId="28">
      <pivotArea dataOnly="0" labelOnly="1" fieldPosition="0">
        <references count="2">
          <reference field="0" count="1" selected="0">
            <x v="0"/>
          </reference>
          <reference field="1" count="1">
            <x v="0"/>
          </reference>
        </references>
      </pivotArea>
    </format>
    <format dxfId="27">
      <pivotArea dataOnly="0" labelOnly="1" fieldPosition="0">
        <references count="2">
          <reference field="0" count="1" selected="0">
            <x v="0"/>
          </reference>
          <reference field="1" count="1">
            <x v="1"/>
          </reference>
        </references>
      </pivotArea>
    </format>
    <format dxfId="26">
      <pivotArea dataOnly="0" labelOnly="1" fieldPosition="0">
        <references count="2">
          <reference field="0" count="1" selected="0">
            <x v="0"/>
          </reference>
          <reference field="1" count="1">
            <x v="2"/>
          </reference>
        </references>
      </pivotArea>
    </format>
    <format dxfId="25">
      <pivotArea dataOnly="0" labelOnly="1" fieldPosition="0">
        <references count="2">
          <reference field="0" count="1" selected="0">
            <x v="1"/>
          </reference>
          <reference field="1" count="1">
            <x v="3"/>
          </reference>
        </references>
      </pivotArea>
    </format>
    <format dxfId="24">
      <pivotArea dataOnly="0" labelOnly="1" fieldPosition="0">
        <references count="2">
          <reference field="0" count="1" selected="0">
            <x v="1"/>
          </reference>
          <reference field="1" count="1">
            <x v="4"/>
          </reference>
        </references>
      </pivotArea>
    </format>
    <format dxfId="23">
      <pivotArea dataOnly="0" labelOnly="1" fieldPosition="0">
        <references count="2">
          <reference field="0" count="1" selected="0">
            <x v="1"/>
          </reference>
          <reference field="1" count="1">
            <x v="5"/>
          </reference>
        </references>
      </pivotArea>
    </format>
    <format dxfId="22">
      <pivotArea dataOnly="0" labelOnly="1" fieldPosition="0">
        <references count="2">
          <reference field="0" count="1" selected="0">
            <x v="2"/>
          </reference>
          <reference field="1" count="1">
            <x v="6"/>
          </reference>
        </references>
      </pivotArea>
    </format>
    <format dxfId="21">
      <pivotArea dataOnly="0" labelOnly="1" fieldPosition="0">
        <references count="2">
          <reference field="0" count="1" selected="0">
            <x v="2"/>
          </reference>
          <reference field="1" count="1">
            <x v="7"/>
          </reference>
        </references>
      </pivotArea>
    </format>
    <format dxfId="20">
      <pivotArea dataOnly="0" labelOnly="1" fieldPosition="0">
        <references count="2">
          <reference field="0" count="1" selected="0">
            <x v="2"/>
          </reference>
          <reference field="1" count="1">
            <x v="8"/>
          </reference>
        </references>
      </pivotArea>
    </format>
    <format dxfId="19">
      <pivotArea dataOnly="0" labelOnly="1" fieldPosition="0">
        <references count="2">
          <reference field="0" count="1" selected="0">
            <x v="3"/>
          </reference>
          <reference field="1" count="1">
            <x v="9"/>
          </reference>
        </references>
      </pivotArea>
    </format>
    <format dxfId="18">
      <pivotArea dataOnly="0" labelOnly="1" fieldPosition="0">
        <references count="2">
          <reference field="0" count="1" selected="0">
            <x v="3"/>
          </reference>
          <reference field="1" count="1">
            <x v="10"/>
          </reference>
        </references>
      </pivotArea>
    </format>
    <format dxfId="17">
      <pivotArea dataOnly="0" labelOnly="1" fieldPosition="0">
        <references count="2">
          <reference field="0" count="1" selected="0">
            <x v="4"/>
          </reference>
          <reference field="1" count="1">
            <x v="11"/>
          </reference>
        </references>
      </pivotArea>
    </format>
    <format dxfId="16">
      <pivotArea dataOnly="0" labelOnly="1" fieldPosition="0">
        <references count="2">
          <reference field="0" count="1" selected="0">
            <x v="5"/>
          </reference>
          <reference field="1" count="1">
            <x v="12"/>
          </reference>
        </references>
      </pivotArea>
    </format>
    <format dxfId="15">
      <pivotArea dataOnly="0" labelOnly="1" fieldPosition="0">
        <references count="2">
          <reference field="0" count="1" selected="0">
            <x v="6"/>
          </reference>
          <reference field="1" count="1">
            <x v="13"/>
          </reference>
        </references>
      </pivotArea>
    </format>
    <format dxfId="14">
      <pivotArea dataOnly="0" labelOnly="1" fieldPosition="0">
        <references count="2">
          <reference field="0" count="1" selected="0">
            <x v="6"/>
          </reference>
          <reference field="1" count="1">
            <x v="14"/>
          </reference>
        </references>
      </pivotArea>
    </format>
    <format dxfId="13">
      <pivotArea dataOnly="0" labelOnly="1" fieldPosition="0">
        <references count="2">
          <reference field="0" count="1" selected="0">
            <x v="6"/>
          </reference>
          <reference field="1" count="1">
            <x v="15"/>
          </reference>
        </references>
      </pivotArea>
    </format>
    <format dxfId="12">
      <pivotArea dataOnly="0" labelOnly="1" fieldPosition="0">
        <references count="2">
          <reference field="0" count="1" selected="0">
            <x v="7"/>
          </reference>
          <reference field="1" count="1">
            <x v="16"/>
          </reference>
        </references>
      </pivotArea>
    </format>
    <format dxfId="11">
      <pivotArea dataOnly="0" labelOnly="1" fieldPosition="0">
        <references count="2">
          <reference field="0" count="1" selected="0">
            <x v="7"/>
          </reference>
          <reference field="1" count="1">
            <x v="17"/>
          </reference>
        </references>
      </pivotArea>
    </format>
    <format dxfId="10">
      <pivotArea dataOnly="0" labelOnly="1" fieldPosition="0">
        <references count="2">
          <reference field="0" count="1" selected="0">
            <x v="8"/>
          </reference>
          <reference field="1" count="1">
            <x v="18"/>
          </reference>
        </references>
      </pivotArea>
    </format>
    <format dxfId="9">
      <pivotArea dataOnly="0" labelOnly="1" fieldPosition="0">
        <references count="2">
          <reference field="0" count="1" selected="0">
            <x v="8"/>
          </reference>
          <reference field="1" count="1">
            <x v="19"/>
          </reference>
        </references>
      </pivotArea>
    </format>
    <format dxfId="8">
      <pivotArea dataOnly="0" labelOnly="1" fieldPosition="0">
        <references count="1">
          <reference field="0" count="1">
            <x v="0"/>
          </reference>
        </references>
      </pivotArea>
    </format>
    <format dxfId="7">
      <pivotArea dataOnly="0" labelOnly="1" fieldPosition="0">
        <references count="1">
          <reference field="0" count="1">
            <x v="1"/>
          </reference>
        </references>
      </pivotArea>
    </format>
    <format dxfId="6">
      <pivotArea dataOnly="0" labelOnly="1" fieldPosition="0">
        <references count="1">
          <reference field="0" count="1">
            <x v="2"/>
          </reference>
        </references>
      </pivotArea>
    </format>
    <format dxfId="5">
      <pivotArea dataOnly="0" labelOnly="1" fieldPosition="0">
        <references count="1">
          <reference field="0" count="1">
            <x v="3"/>
          </reference>
        </references>
      </pivotArea>
    </format>
    <format dxfId="4">
      <pivotArea dataOnly="0" labelOnly="1" fieldPosition="0">
        <references count="1">
          <reference field="0" count="1">
            <x v="4"/>
          </reference>
        </references>
      </pivotArea>
    </format>
    <format dxfId="3">
      <pivotArea dataOnly="0" labelOnly="1" fieldPosition="0">
        <references count="1">
          <reference field="0" count="1">
            <x v="5"/>
          </reference>
        </references>
      </pivotArea>
    </format>
    <format dxfId="2">
      <pivotArea dataOnly="0" labelOnly="1" fieldPosition="0">
        <references count="1">
          <reference field="0" count="1">
            <x v="6"/>
          </reference>
        </references>
      </pivotArea>
    </format>
    <format dxfId="1">
      <pivotArea dataOnly="0" labelOnly="1" fieldPosition="0">
        <references count="1">
          <reference field="0" count="1">
            <x v="7"/>
          </reference>
        </references>
      </pivotArea>
    </format>
    <format dxfId="0">
      <pivotArea dataOnly="0" labelOnly="1" fieldPosition="0">
        <references count="1">
          <reference field="0" count="1">
            <x v="8"/>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0AF6A-FA55-4A84-A582-BE39CB7B0FB7}" name="TablaDinámica2" cacheId="2" applyNumberFormats="0" applyBorderFormats="0" applyFontFormats="0" applyPatternFormats="0" applyAlignmentFormats="0" applyWidthHeightFormats="1" dataCaption="Valores" grandTotalCaption="NUMERO TOTAL DE ACCIONES" updatedVersion="8" minRefreshableVersion="3" useAutoFormatting="1" itemPrintTitles="1" createdVersion="8" indent="0" outline="1" outlineData="1" multipleFieldFilters="0">
  <location ref="A3:B13" firstHeaderRow="1" firstDataRow="1" firstDataCol="1"/>
  <pivotFields count="9">
    <pivotField axis="axisRow" dataField="1"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Items count="1">
    <i/>
  </colItems>
  <dataFields count="1">
    <dataField name="Cuenta de EJE / ÁRE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29FD8-C1F4-4EEA-8827-945B45EA0826}" name="TablaDinámica3"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A26" firstHeaderRow="1" firstDataRow="1" firstDataCol="1"/>
  <pivotFields count="9">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F1092-9778-4A17-8612-C0400F5A4FD4}"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3:C13" firstHeaderRow="0" firstDataRow="1" firstDataCol="1"/>
  <pivotFields count="9">
    <pivotField axis="axisRow" showAll="0">
      <items count="10">
        <item x="0"/>
        <item x="1"/>
        <item x="2"/>
        <item x="3"/>
        <item x="4"/>
        <item x="5"/>
        <item x="6"/>
        <item x="7"/>
        <item x="8"/>
        <item t="default"/>
      </items>
    </pivotField>
    <pivotField showAll="0"/>
    <pivotField showAll="0"/>
    <pivotField showAll="0"/>
    <pivotField showAll="0"/>
    <pivotField showAll="0"/>
    <pivotField dataField="1" showAll="0"/>
    <pivotField dataField="1" showAll="0"/>
    <pivotField showAl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a de HORAS DE DEDICACIÓN" fld="6" baseField="0" baseItem="0"/>
    <dataField name="Suma de HORAS RESPONSABLES"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B1290-191D-4416-AC2D-FC4C528910C3}"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A22" firstHeaderRow="1" firstDataRow="1" firstDataCol="1"/>
  <pivotFields count="9">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55D26D-6708-41A2-B53F-DC7B09C6B7D8}" name="Tabla3" displayName="Tabla3" ref="A1:I50" totalsRowShown="0">
  <autoFilter ref="A1:I50" xr:uid="{7E55D26D-6708-41A2-B53F-DC7B09C6B7D8}"/>
  <tableColumns count="9">
    <tableColumn id="1" xr3:uid="{9C36D6DA-2F07-4013-A792-A75CB16EE9B1}" name="ÁREA"/>
    <tableColumn id="3" xr3:uid="{2E6FBACD-E7FE-4394-855E-F3B74CBD8AF7}" name="METAS"/>
    <tableColumn id="4" xr3:uid="{10CA7F2E-D086-469E-9432-FE880C8F8B41}" name="MEDIDA / ACCIÓN"/>
    <tableColumn id="5" xr3:uid="{52B768D3-806C-4CCB-A9F6-8AE788D32706}" name="INDICADOR DE SEGUIMIENTO"/>
    <tableColumn id="6" xr3:uid="{61C768FC-E1F1-41EA-9790-6B89681E9D57}" name="RESPONSABLE"/>
    <tableColumn id="7" xr3:uid="{6538D62F-7AB1-49C4-B449-FFEA90470E6E}" name="PERIODICIDAD"/>
    <tableColumn id="8" xr3:uid="{BA004644-66B1-4FFD-B877-6DE696D9A16E}" name="HORAS DE DEDICACIÓN"/>
    <tableColumn id="9" xr3:uid="{DE320387-C5D0-40EF-A263-1D1CA03621F2}" name="HORAS RESPONSABLES"/>
    <tableColumn id="2" xr3:uid="{53B71FD2-1D97-41C0-8F6C-BF361DA2F03A}" name="CRONOGRAMA" dataDxfId="320" dataCellStyle="Normal 2"/>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Personalizado 9">
      <a:dk1>
        <a:srgbClr val="262626"/>
      </a:dk1>
      <a:lt1>
        <a:sysClr val="window" lastClr="FFFFFF"/>
      </a:lt1>
      <a:dk2>
        <a:srgbClr val="454551"/>
      </a:dk2>
      <a:lt2>
        <a:srgbClr val="F2F2F2"/>
      </a:lt2>
      <a:accent1>
        <a:srgbClr val="C40062"/>
      </a:accent1>
      <a:accent2>
        <a:srgbClr val="660066"/>
      </a:accent2>
      <a:accent3>
        <a:srgbClr val="FF66CC"/>
      </a:accent3>
      <a:accent4>
        <a:srgbClr val="FF0066"/>
      </a:accent4>
      <a:accent5>
        <a:srgbClr val="5F5F5F"/>
      </a:accent5>
      <a:accent6>
        <a:srgbClr val="CD37D1"/>
      </a:accent6>
      <a:hlink>
        <a:srgbClr val="000000"/>
      </a:hlink>
      <a:folHlink>
        <a:srgbClr val="BFBFBF"/>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D49C-3D4F-49A7-979A-5B27C288790C}">
  <dimension ref="A1:I52"/>
  <sheetViews>
    <sheetView showGridLines="0" zoomScaleNormal="100" workbookViewId="0">
      <selection activeCell="C12" sqref="C12:C13"/>
    </sheetView>
  </sheetViews>
  <sheetFormatPr baseColWidth="10" defaultColWidth="10.6875" defaultRowHeight="33.950000000000003" customHeight="1"/>
  <cols>
    <col min="1" max="1" width="49.3125" style="3" customWidth="1"/>
    <col min="2" max="2" width="80.5625" style="3" customWidth="1"/>
    <col min="3" max="3" width="120.8125" style="3" customWidth="1"/>
    <col min="4" max="4" width="27.8125" style="3" hidden="1" customWidth="1"/>
    <col min="5" max="5" width="24.5625" style="3" hidden="1" customWidth="1"/>
    <col min="6" max="6" width="9.5625" style="3" customWidth="1"/>
    <col min="7" max="7" width="8.5" style="3" customWidth="1"/>
    <col min="8" max="16384" width="10.6875" style="3"/>
  </cols>
  <sheetData>
    <row r="1" spans="1:9" ht="33.950000000000003" customHeight="1">
      <c r="A1" s="7" t="s">
        <v>260</v>
      </c>
      <c r="B1" s="7" t="s">
        <v>100</v>
      </c>
      <c r="C1" s="7" t="s">
        <v>0</v>
      </c>
      <c r="D1" s="7" t="s">
        <v>1</v>
      </c>
      <c r="E1" s="7" t="s">
        <v>2</v>
      </c>
      <c r="F1" s="7" t="s">
        <v>3</v>
      </c>
      <c r="G1" s="7" t="s">
        <v>79</v>
      </c>
      <c r="H1" s="7" t="s">
        <v>86</v>
      </c>
      <c r="I1" s="3" t="s">
        <v>211</v>
      </c>
    </row>
    <row r="2" spans="1:9" ht="33.950000000000003" customHeight="1">
      <c r="A2" s="9" t="s">
        <v>4</v>
      </c>
      <c r="B2" s="9" t="s">
        <v>90</v>
      </c>
      <c r="C2" s="9" t="s">
        <v>101</v>
      </c>
      <c r="D2" s="8" t="s">
        <v>5</v>
      </c>
      <c r="E2" s="8" t="s">
        <v>6</v>
      </c>
      <c r="F2" s="8" t="s">
        <v>7</v>
      </c>
      <c r="G2" s="8">
        <v>24</v>
      </c>
      <c r="H2" s="8">
        <v>12</v>
      </c>
      <c r="I2" s="3" t="s">
        <v>7</v>
      </c>
    </row>
    <row r="3" spans="1:9" ht="33.950000000000003" customHeight="1">
      <c r="A3" s="9" t="s">
        <v>4</v>
      </c>
      <c r="B3" s="9" t="s">
        <v>90</v>
      </c>
      <c r="C3" s="9" t="s">
        <v>102</v>
      </c>
      <c r="D3" s="8" t="s">
        <v>8</v>
      </c>
      <c r="E3" s="8" t="s">
        <v>9</v>
      </c>
      <c r="F3" s="8" t="s">
        <v>7</v>
      </c>
      <c r="G3" s="8">
        <v>20</v>
      </c>
      <c r="H3" s="8">
        <v>10</v>
      </c>
      <c r="I3" s="3" t="s">
        <v>7</v>
      </c>
    </row>
    <row r="4" spans="1:9" ht="33.950000000000003" customHeight="1">
      <c r="A4" s="9" t="s">
        <v>4</v>
      </c>
      <c r="B4" s="9" t="s">
        <v>91</v>
      </c>
      <c r="C4" s="9" t="s">
        <v>103</v>
      </c>
      <c r="D4" s="8" t="s">
        <v>10</v>
      </c>
      <c r="E4" s="8" t="s">
        <v>11</v>
      </c>
      <c r="F4" s="8" t="s">
        <v>7</v>
      </c>
      <c r="G4" s="8">
        <v>10</v>
      </c>
      <c r="H4" s="8">
        <v>4</v>
      </c>
      <c r="I4" s="3" t="s">
        <v>7</v>
      </c>
    </row>
    <row r="5" spans="1:9" ht="33.950000000000003" customHeight="1">
      <c r="A5" s="9" t="s">
        <v>4</v>
      </c>
      <c r="B5" s="9" t="s">
        <v>91</v>
      </c>
      <c r="C5" s="9" t="s">
        <v>104</v>
      </c>
      <c r="D5" s="8" t="s">
        <v>12</v>
      </c>
      <c r="E5" s="8" t="s">
        <v>6</v>
      </c>
      <c r="F5" s="8" t="s">
        <v>7</v>
      </c>
      <c r="G5" s="8">
        <v>40</v>
      </c>
      <c r="H5" s="8">
        <v>4</v>
      </c>
      <c r="I5" s="3" t="s">
        <v>7</v>
      </c>
    </row>
    <row r="6" spans="1:9" ht="33.950000000000003" customHeight="1">
      <c r="A6" s="9" t="s">
        <v>4</v>
      </c>
      <c r="B6" s="9" t="s">
        <v>91</v>
      </c>
      <c r="C6" s="9" t="s">
        <v>105</v>
      </c>
      <c r="D6" s="8" t="s">
        <v>13</v>
      </c>
      <c r="E6" s="8" t="s">
        <v>14</v>
      </c>
      <c r="F6" s="8" t="s">
        <v>15</v>
      </c>
      <c r="G6" s="8">
        <v>100</v>
      </c>
      <c r="H6" s="8">
        <v>10</v>
      </c>
      <c r="I6" s="3">
        <v>2029</v>
      </c>
    </row>
    <row r="7" spans="1:9" ht="33.950000000000003" customHeight="1">
      <c r="A7" s="9" t="s">
        <v>4</v>
      </c>
      <c r="B7" s="9" t="s">
        <v>92</v>
      </c>
      <c r="C7" s="9" t="s">
        <v>106</v>
      </c>
      <c r="D7" s="8" t="s">
        <v>16</v>
      </c>
      <c r="E7" s="8" t="s">
        <v>11</v>
      </c>
      <c r="F7" s="8" t="s">
        <v>7</v>
      </c>
      <c r="G7" s="8">
        <v>2</v>
      </c>
      <c r="H7" s="8">
        <v>2</v>
      </c>
      <c r="I7" s="3" t="s">
        <v>7</v>
      </c>
    </row>
    <row r="8" spans="1:9" ht="33.950000000000003" customHeight="1">
      <c r="A8" s="9" t="s">
        <v>4</v>
      </c>
      <c r="B8" s="9" t="s">
        <v>92</v>
      </c>
      <c r="C8" s="9" t="s">
        <v>107</v>
      </c>
      <c r="D8" s="8" t="s">
        <v>17</v>
      </c>
      <c r="E8" s="8" t="s">
        <v>108</v>
      </c>
      <c r="F8" s="8" t="s">
        <v>7</v>
      </c>
      <c r="G8" s="8">
        <v>2</v>
      </c>
      <c r="H8" s="8">
        <v>2</v>
      </c>
      <c r="I8" s="3" t="s">
        <v>7</v>
      </c>
    </row>
    <row r="9" spans="1:9" ht="33.950000000000003" customHeight="1">
      <c r="A9" s="9" t="s">
        <v>18</v>
      </c>
      <c r="B9" s="9" t="s">
        <v>109</v>
      </c>
      <c r="C9" s="9" t="s">
        <v>110</v>
      </c>
      <c r="D9" s="8" t="s">
        <v>19</v>
      </c>
      <c r="E9" s="8" t="s">
        <v>6</v>
      </c>
      <c r="F9" s="8" t="s">
        <v>7</v>
      </c>
      <c r="G9" s="8">
        <v>2</v>
      </c>
      <c r="H9" s="8">
        <v>2</v>
      </c>
      <c r="I9" s="3" t="s">
        <v>7</v>
      </c>
    </row>
    <row r="10" spans="1:9" ht="33.950000000000003" customHeight="1">
      <c r="A10" s="9" t="s">
        <v>18</v>
      </c>
      <c r="B10" s="9" t="s">
        <v>109</v>
      </c>
      <c r="C10" s="9" t="s">
        <v>111</v>
      </c>
      <c r="D10" s="8" t="s">
        <v>20</v>
      </c>
      <c r="E10" s="8" t="s">
        <v>21</v>
      </c>
      <c r="F10" s="8" t="s">
        <v>7</v>
      </c>
      <c r="G10" s="8">
        <v>2</v>
      </c>
      <c r="H10" s="8">
        <v>2</v>
      </c>
      <c r="I10" s="3" t="s">
        <v>7</v>
      </c>
    </row>
    <row r="11" spans="1:9" ht="33.950000000000003" customHeight="1">
      <c r="A11" s="9" t="s">
        <v>18</v>
      </c>
      <c r="B11" s="9" t="s">
        <v>109</v>
      </c>
      <c r="C11" s="9" t="s">
        <v>112</v>
      </c>
      <c r="D11" s="8" t="s">
        <v>22</v>
      </c>
      <c r="E11" s="8" t="s">
        <v>6</v>
      </c>
      <c r="F11" s="8" t="s">
        <v>7</v>
      </c>
      <c r="G11" s="8">
        <v>12</v>
      </c>
      <c r="H11" s="8">
        <v>4</v>
      </c>
      <c r="I11" s="3" t="s">
        <v>7</v>
      </c>
    </row>
    <row r="12" spans="1:9" ht="33.950000000000003" customHeight="1">
      <c r="A12" s="9" t="s">
        <v>18</v>
      </c>
      <c r="B12" s="9" t="s">
        <v>113</v>
      </c>
      <c r="C12" s="9" t="s">
        <v>114</v>
      </c>
      <c r="D12" s="8" t="s">
        <v>25</v>
      </c>
      <c r="E12" s="8" t="s">
        <v>26</v>
      </c>
      <c r="F12" s="8" t="s">
        <v>7</v>
      </c>
      <c r="G12" s="8">
        <v>4</v>
      </c>
      <c r="H12" s="8">
        <v>4</v>
      </c>
      <c r="I12" s="3" t="s">
        <v>7</v>
      </c>
    </row>
    <row r="13" spans="1:9" ht="33.950000000000003" customHeight="1">
      <c r="A13" s="9" t="s">
        <v>18</v>
      </c>
      <c r="B13" s="9" t="s">
        <v>113</v>
      </c>
      <c r="C13" s="9" t="s">
        <v>115</v>
      </c>
      <c r="D13" s="8" t="s">
        <v>116</v>
      </c>
      <c r="E13" s="8" t="s">
        <v>6</v>
      </c>
      <c r="F13" s="8" t="s">
        <v>7</v>
      </c>
      <c r="G13" s="8">
        <v>12</v>
      </c>
      <c r="H13" s="8">
        <v>4</v>
      </c>
      <c r="I13" s="3" t="s">
        <v>7</v>
      </c>
    </row>
    <row r="14" spans="1:9" ht="33.950000000000003" customHeight="1">
      <c r="A14" s="9" t="s">
        <v>18</v>
      </c>
      <c r="B14" s="9" t="s">
        <v>117</v>
      </c>
      <c r="C14" s="9" t="s">
        <v>118</v>
      </c>
      <c r="D14" s="8" t="s">
        <v>23</v>
      </c>
      <c r="E14" s="8" t="s">
        <v>21</v>
      </c>
      <c r="F14" s="8" t="s">
        <v>7</v>
      </c>
      <c r="G14" s="8">
        <v>25</v>
      </c>
      <c r="H14" s="8">
        <v>15</v>
      </c>
      <c r="I14" s="3" t="s">
        <v>7</v>
      </c>
    </row>
    <row r="15" spans="1:9" ht="33.950000000000003" customHeight="1">
      <c r="A15" s="9" t="s">
        <v>18</v>
      </c>
      <c r="B15" s="9" t="s">
        <v>117</v>
      </c>
      <c r="C15" s="9" t="s">
        <v>119</v>
      </c>
      <c r="D15" s="8" t="s">
        <v>24</v>
      </c>
      <c r="E15" s="8" t="s">
        <v>6</v>
      </c>
      <c r="F15" s="8" t="s">
        <v>7</v>
      </c>
      <c r="G15" s="8">
        <v>25</v>
      </c>
      <c r="H15" s="8">
        <v>5</v>
      </c>
      <c r="I15" s="3" t="s">
        <v>7</v>
      </c>
    </row>
    <row r="16" spans="1:9" ht="33.950000000000003" customHeight="1">
      <c r="A16" s="9" t="s">
        <v>27</v>
      </c>
      <c r="B16" s="9" t="s">
        <v>93</v>
      </c>
      <c r="C16" s="9" t="s">
        <v>120</v>
      </c>
      <c r="D16" s="8" t="s">
        <v>28</v>
      </c>
      <c r="E16" s="8" t="s">
        <v>6</v>
      </c>
      <c r="F16" s="8" t="s">
        <v>7</v>
      </c>
      <c r="G16" s="8">
        <v>20</v>
      </c>
      <c r="H16" s="8">
        <v>6</v>
      </c>
      <c r="I16" s="3" t="s">
        <v>7</v>
      </c>
    </row>
    <row r="17" spans="1:9" ht="33.950000000000003" customHeight="1">
      <c r="A17" s="9" t="s">
        <v>27</v>
      </c>
      <c r="B17" s="9" t="s">
        <v>121</v>
      </c>
      <c r="C17" s="9" t="s">
        <v>122</v>
      </c>
      <c r="D17" s="8" t="s">
        <v>29</v>
      </c>
      <c r="E17" s="8" t="s">
        <v>6</v>
      </c>
      <c r="F17" s="8" t="s">
        <v>7</v>
      </c>
      <c r="G17" s="8">
        <v>20</v>
      </c>
      <c r="H17" s="8">
        <v>6</v>
      </c>
      <c r="I17" s="3" t="s">
        <v>7</v>
      </c>
    </row>
    <row r="18" spans="1:9" ht="33.950000000000003" customHeight="1">
      <c r="A18" s="9" t="s">
        <v>27</v>
      </c>
      <c r="B18" s="9" t="s">
        <v>121</v>
      </c>
      <c r="C18" s="9" t="s">
        <v>123</v>
      </c>
      <c r="D18" s="8" t="s">
        <v>30</v>
      </c>
      <c r="E18" s="8" t="s">
        <v>6</v>
      </c>
      <c r="F18" s="8" t="s">
        <v>7</v>
      </c>
      <c r="G18" s="8">
        <v>10</v>
      </c>
      <c r="H18" s="8">
        <v>4</v>
      </c>
      <c r="I18" s="3" t="s">
        <v>7</v>
      </c>
    </row>
    <row r="19" spans="1:9" ht="33.950000000000003" customHeight="1">
      <c r="A19" s="9" t="s">
        <v>27</v>
      </c>
      <c r="B19" s="9" t="s">
        <v>94</v>
      </c>
      <c r="C19" s="9" t="s">
        <v>212</v>
      </c>
      <c r="D19" s="8" t="s">
        <v>31</v>
      </c>
      <c r="E19" s="8" t="s">
        <v>6</v>
      </c>
      <c r="F19" s="8" t="s">
        <v>7</v>
      </c>
      <c r="G19" s="8">
        <v>10</v>
      </c>
      <c r="H19" s="8">
        <v>2</v>
      </c>
      <c r="I19" s="3" t="s">
        <v>7</v>
      </c>
    </row>
    <row r="20" spans="1:9" ht="33.950000000000003" customHeight="1">
      <c r="A20" s="9" t="s">
        <v>27</v>
      </c>
      <c r="B20" s="9" t="s">
        <v>94</v>
      </c>
      <c r="C20" s="9" t="s">
        <v>124</v>
      </c>
      <c r="D20" s="8" t="s">
        <v>32</v>
      </c>
      <c r="E20" s="8" t="s">
        <v>6</v>
      </c>
      <c r="F20" s="8" t="s">
        <v>7</v>
      </c>
      <c r="G20" s="8">
        <v>2</v>
      </c>
      <c r="H20" s="8">
        <v>1</v>
      </c>
      <c r="I20" s="3" t="s">
        <v>7</v>
      </c>
    </row>
    <row r="21" spans="1:9" ht="33.950000000000003" customHeight="1">
      <c r="A21" s="9" t="s">
        <v>27</v>
      </c>
      <c r="B21" s="9" t="s">
        <v>94</v>
      </c>
      <c r="C21" s="9" t="s">
        <v>125</v>
      </c>
      <c r="D21" s="8" t="s">
        <v>33</v>
      </c>
      <c r="E21" s="8" t="s">
        <v>6</v>
      </c>
      <c r="F21" s="8" t="s">
        <v>7</v>
      </c>
      <c r="G21" s="8">
        <v>20</v>
      </c>
      <c r="H21" s="8">
        <v>4</v>
      </c>
      <c r="I21" s="3" t="s">
        <v>7</v>
      </c>
    </row>
    <row r="22" spans="1:9" ht="33.950000000000003" customHeight="1">
      <c r="A22" s="9" t="s">
        <v>41</v>
      </c>
      <c r="B22" s="9" t="s">
        <v>126</v>
      </c>
      <c r="C22" s="9" t="s">
        <v>127</v>
      </c>
      <c r="D22" s="8" t="s">
        <v>34</v>
      </c>
      <c r="E22" s="8" t="s">
        <v>35</v>
      </c>
      <c r="F22" s="8" t="s">
        <v>15</v>
      </c>
      <c r="G22" s="8">
        <v>10</v>
      </c>
      <c r="H22" s="8">
        <v>2</v>
      </c>
      <c r="I22" s="3">
        <v>2027</v>
      </c>
    </row>
    <row r="23" spans="1:9" ht="33.950000000000003" customHeight="1">
      <c r="A23" s="9" t="s">
        <v>41</v>
      </c>
      <c r="B23" s="9" t="s">
        <v>126</v>
      </c>
      <c r="C23" s="9" t="s">
        <v>128</v>
      </c>
      <c r="D23" s="8" t="s">
        <v>36</v>
      </c>
      <c r="E23" s="8" t="s">
        <v>37</v>
      </c>
      <c r="F23" s="8" t="s">
        <v>15</v>
      </c>
      <c r="G23" s="8">
        <v>10</v>
      </c>
      <c r="H23" s="8">
        <v>4</v>
      </c>
      <c r="I23" s="3">
        <v>2027</v>
      </c>
    </row>
    <row r="24" spans="1:9" ht="33.950000000000003" customHeight="1">
      <c r="A24" s="9" t="s">
        <v>41</v>
      </c>
      <c r="B24" s="9" t="s">
        <v>129</v>
      </c>
      <c r="C24" s="9" t="s">
        <v>130</v>
      </c>
      <c r="D24" s="8" t="s">
        <v>38</v>
      </c>
      <c r="E24" s="8" t="s">
        <v>35</v>
      </c>
      <c r="F24" s="8" t="s">
        <v>7</v>
      </c>
      <c r="G24" s="8">
        <v>10</v>
      </c>
      <c r="H24" s="8">
        <v>10</v>
      </c>
      <c r="I24" s="3" t="s">
        <v>209</v>
      </c>
    </row>
    <row r="25" spans="1:9" ht="33.950000000000003" customHeight="1">
      <c r="A25" s="9" t="s">
        <v>41</v>
      </c>
      <c r="B25" s="9" t="s">
        <v>129</v>
      </c>
      <c r="C25" s="9" t="s">
        <v>131</v>
      </c>
      <c r="D25" s="8" t="s">
        <v>39</v>
      </c>
      <c r="E25" s="8" t="s">
        <v>35</v>
      </c>
      <c r="F25" s="8" t="s">
        <v>7</v>
      </c>
      <c r="G25" s="8">
        <v>2</v>
      </c>
      <c r="H25" s="8">
        <v>2</v>
      </c>
      <c r="I25" s="3" t="s">
        <v>209</v>
      </c>
    </row>
    <row r="26" spans="1:9" ht="33.950000000000003" customHeight="1">
      <c r="A26" s="9" t="s">
        <v>41</v>
      </c>
      <c r="B26" s="9" t="s">
        <v>129</v>
      </c>
      <c r="C26" s="9" t="s">
        <v>132</v>
      </c>
      <c r="D26" s="8" t="s">
        <v>40</v>
      </c>
      <c r="E26" s="8" t="s">
        <v>37</v>
      </c>
      <c r="F26" s="8" t="s">
        <v>7</v>
      </c>
      <c r="G26" s="8">
        <v>10</v>
      </c>
      <c r="H26" s="8">
        <v>4</v>
      </c>
      <c r="I26" s="3" t="s">
        <v>209</v>
      </c>
    </row>
    <row r="27" spans="1:9" ht="33.950000000000003" customHeight="1">
      <c r="A27" s="9" t="s">
        <v>42</v>
      </c>
      <c r="B27" s="9" t="s">
        <v>133</v>
      </c>
      <c r="C27" s="9" t="s">
        <v>134</v>
      </c>
      <c r="D27" s="8" t="s">
        <v>43</v>
      </c>
      <c r="E27" s="8" t="s">
        <v>44</v>
      </c>
      <c r="F27" s="8" t="s">
        <v>7</v>
      </c>
      <c r="G27" s="8">
        <v>2</v>
      </c>
      <c r="H27" s="8">
        <v>100</v>
      </c>
      <c r="I27" s="3" t="s">
        <v>7</v>
      </c>
    </row>
    <row r="28" spans="1:9" ht="33.950000000000003" customHeight="1">
      <c r="A28" s="9" t="s">
        <v>42</v>
      </c>
      <c r="B28" s="9" t="s">
        <v>133</v>
      </c>
      <c r="C28" s="9" t="s">
        <v>135</v>
      </c>
      <c r="D28" s="8" t="s">
        <v>45</v>
      </c>
      <c r="E28" s="8" t="s">
        <v>136</v>
      </c>
      <c r="F28" s="8" t="s">
        <v>7</v>
      </c>
      <c r="G28" s="8">
        <v>2</v>
      </c>
      <c r="H28" s="8">
        <v>4</v>
      </c>
      <c r="I28" s="3" t="s">
        <v>7</v>
      </c>
    </row>
    <row r="29" spans="1:9" ht="33.950000000000003" customHeight="1">
      <c r="A29" s="9" t="s">
        <v>56</v>
      </c>
      <c r="B29" s="9" t="s">
        <v>137</v>
      </c>
      <c r="C29" s="9" t="s">
        <v>138</v>
      </c>
      <c r="D29" s="8" t="s">
        <v>57</v>
      </c>
      <c r="E29" s="8" t="s">
        <v>139</v>
      </c>
      <c r="F29" s="8" t="s">
        <v>7</v>
      </c>
      <c r="G29" s="8">
        <v>5</v>
      </c>
      <c r="H29" s="8">
        <v>2</v>
      </c>
      <c r="I29" s="3" t="s">
        <v>7</v>
      </c>
    </row>
    <row r="30" spans="1:9" ht="33.950000000000003" customHeight="1">
      <c r="A30" s="9" t="s">
        <v>56</v>
      </c>
      <c r="B30" s="9" t="s">
        <v>137</v>
      </c>
      <c r="C30" s="9" t="s">
        <v>217</v>
      </c>
      <c r="D30" s="8" t="s">
        <v>58</v>
      </c>
      <c r="E30" s="8" t="s">
        <v>44</v>
      </c>
      <c r="F30" s="8" t="s">
        <v>15</v>
      </c>
      <c r="G30" s="8">
        <v>10</v>
      </c>
      <c r="H30" s="8">
        <v>4</v>
      </c>
      <c r="I30" s="3">
        <v>2027</v>
      </c>
    </row>
    <row r="31" spans="1:9" ht="33.950000000000003" customHeight="1">
      <c r="A31" s="9" t="s">
        <v>56</v>
      </c>
      <c r="B31" s="9" t="s">
        <v>137</v>
      </c>
      <c r="C31" s="9" t="s">
        <v>140</v>
      </c>
      <c r="D31" s="8" t="s">
        <v>59</v>
      </c>
      <c r="E31" s="8" t="s">
        <v>84</v>
      </c>
      <c r="F31" s="8" t="s">
        <v>15</v>
      </c>
      <c r="G31" s="8">
        <v>10</v>
      </c>
      <c r="H31" s="8">
        <v>2</v>
      </c>
      <c r="I31" s="3">
        <v>2027</v>
      </c>
    </row>
    <row r="32" spans="1:9" ht="33.950000000000003" customHeight="1">
      <c r="A32" s="9" t="s">
        <v>46</v>
      </c>
      <c r="B32" s="9" t="s">
        <v>95</v>
      </c>
      <c r="C32" s="9" t="s">
        <v>141</v>
      </c>
      <c r="D32" s="8" t="s">
        <v>47</v>
      </c>
      <c r="E32" s="8" t="s">
        <v>26</v>
      </c>
      <c r="F32" s="8" t="s">
        <v>7</v>
      </c>
      <c r="G32" s="8">
        <v>2</v>
      </c>
      <c r="H32" s="8">
        <v>2</v>
      </c>
      <c r="I32" s="3" t="s">
        <v>7</v>
      </c>
    </row>
    <row r="33" spans="1:9" ht="33.950000000000003" customHeight="1">
      <c r="A33" s="9" t="s">
        <v>46</v>
      </c>
      <c r="B33" s="9" t="s">
        <v>95</v>
      </c>
      <c r="C33" s="9" t="s">
        <v>142</v>
      </c>
      <c r="D33" s="8" t="s">
        <v>48</v>
      </c>
      <c r="E33" s="8" t="s">
        <v>49</v>
      </c>
      <c r="F33" s="8" t="s">
        <v>7</v>
      </c>
      <c r="G33" s="8">
        <v>2</v>
      </c>
      <c r="H33" s="8">
        <v>2</v>
      </c>
      <c r="I33" s="3" t="s">
        <v>7</v>
      </c>
    </row>
    <row r="34" spans="1:9" ht="33.950000000000003" customHeight="1">
      <c r="A34" s="9" t="s">
        <v>46</v>
      </c>
      <c r="B34" s="9" t="s">
        <v>96</v>
      </c>
      <c r="C34" s="9" t="s">
        <v>143</v>
      </c>
      <c r="D34" s="8" t="s">
        <v>50</v>
      </c>
      <c r="E34" s="8" t="s">
        <v>84</v>
      </c>
      <c r="F34" s="8" t="s">
        <v>15</v>
      </c>
      <c r="G34" s="8">
        <v>2</v>
      </c>
      <c r="H34" s="8">
        <v>2</v>
      </c>
      <c r="I34" s="3">
        <v>2026</v>
      </c>
    </row>
    <row r="35" spans="1:9" ht="33.950000000000003" customHeight="1">
      <c r="A35" s="9" t="s">
        <v>46</v>
      </c>
      <c r="B35" s="9" t="s">
        <v>96</v>
      </c>
      <c r="C35" s="9" t="s">
        <v>144</v>
      </c>
      <c r="D35" s="8" t="s">
        <v>51</v>
      </c>
      <c r="E35" s="8" t="s">
        <v>6</v>
      </c>
      <c r="F35" s="8" t="s">
        <v>7</v>
      </c>
      <c r="G35" s="8">
        <v>10</v>
      </c>
      <c r="H35" s="8">
        <v>4</v>
      </c>
      <c r="I35" s="3" t="s">
        <v>7</v>
      </c>
    </row>
    <row r="36" spans="1:9" ht="33.950000000000003" customHeight="1">
      <c r="A36" s="9" t="s">
        <v>46</v>
      </c>
      <c r="B36" s="9" t="s">
        <v>145</v>
      </c>
      <c r="C36" s="9" t="s">
        <v>146</v>
      </c>
      <c r="D36" s="8" t="s">
        <v>52</v>
      </c>
      <c r="E36" s="8" t="s">
        <v>147</v>
      </c>
      <c r="F36" s="8" t="s">
        <v>15</v>
      </c>
      <c r="G36" s="8">
        <v>2</v>
      </c>
      <c r="H36" s="8">
        <v>2</v>
      </c>
      <c r="I36" s="3">
        <v>2026</v>
      </c>
    </row>
    <row r="37" spans="1:9" ht="33.950000000000003" customHeight="1">
      <c r="A37" s="9" t="s">
        <v>46</v>
      </c>
      <c r="B37" s="9" t="s">
        <v>145</v>
      </c>
      <c r="C37" s="9" t="s">
        <v>148</v>
      </c>
      <c r="D37" s="8" t="s">
        <v>53</v>
      </c>
      <c r="E37" s="8" t="s">
        <v>6</v>
      </c>
      <c r="F37" s="8" t="s">
        <v>15</v>
      </c>
      <c r="G37" s="8">
        <v>20</v>
      </c>
      <c r="H37" s="8">
        <v>8</v>
      </c>
      <c r="I37" s="3">
        <v>2027</v>
      </c>
    </row>
    <row r="38" spans="1:9" ht="33.950000000000003" customHeight="1">
      <c r="A38" s="9" t="s">
        <v>46</v>
      </c>
      <c r="B38" s="9" t="s">
        <v>145</v>
      </c>
      <c r="C38" s="9" t="s">
        <v>149</v>
      </c>
      <c r="D38" s="8" t="s">
        <v>54</v>
      </c>
      <c r="E38" s="8" t="s">
        <v>6</v>
      </c>
      <c r="F38" s="8" t="s">
        <v>15</v>
      </c>
      <c r="G38" s="8">
        <v>20</v>
      </c>
      <c r="H38" s="8">
        <v>10</v>
      </c>
      <c r="I38" s="3">
        <v>2028</v>
      </c>
    </row>
    <row r="39" spans="1:9" ht="33.950000000000003" customHeight="1">
      <c r="A39" s="9" t="s">
        <v>46</v>
      </c>
      <c r="B39" s="9" t="s">
        <v>145</v>
      </c>
      <c r="C39" s="9" t="s">
        <v>150</v>
      </c>
      <c r="D39" s="8" t="s">
        <v>55</v>
      </c>
      <c r="E39" s="8" t="s">
        <v>6</v>
      </c>
      <c r="F39" s="8" t="s">
        <v>15</v>
      </c>
      <c r="G39" s="8">
        <v>20</v>
      </c>
      <c r="H39" s="8">
        <v>10</v>
      </c>
      <c r="I39" s="3">
        <v>2028</v>
      </c>
    </row>
    <row r="40" spans="1:9" ht="33.950000000000003" customHeight="1">
      <c r="A40" s="9" t="s">
        <v>46</v>
      </c>
      <c r="B40" s="9" t="s">
        <v>145</v>
      </c>
      <c r="C40" s="9" t="s">
        <v>151</v>
      </c>
      <c r="D40" s="8" t="s">
        <v>61</v>
      </c>
      <c r="E40" s="8" t="s">
        <v>6</v>
      </c>
      <c r="F40" s="8" t="s">
        <v>15</v>
      </c>
      <c r="G40" s="8">
        <v>20</v>
      </c>
      <c r="H40" s="8">
        <v>10</v>
      </c>
      <c r="I40" s="3">
        <v>2027</v>
      </c>
    </row>
    <row r="41" spans="1:9" ht="33.950000000000003" customHeight="1">
      <c r="A41" s="9" t="s">
        <v>60</v>
      </c>
      <c r="B41" s="9" t="s">
        <v>97</v>
      </c>
      <c r="C41" s="9" t="s">
        <v>152</v>
      </c>
      <c r="D41" s="8" t="s">
        <v>64</v>
      </c>
      <c r="E41" s="8" t="s">
        <v>65</v>
      </c>
      <c r="F41" s="8" t="s">
        <v>15</v>
      </c>
      <c r="G41" s="8">
        <v>10</v>
      </c>
      <c r="H41" s="8">
        <v>4</v>
      </c>
      <c r="I41" s="3" t="s">
        <v>210</v>
      </c>
    </row>
    <row r="42" spans="1:9" ht="33.950000000000003" customHeight="1">
      <c r="A42" s="9" t="s">
        <v>60</v>
      </c>
      <c r="B42" s="9" t="s">
        <v>97</v>
      </c>
      <c r="C42" s="9" t="s">
        <v>153</v>
      </c>
      <c r="D42" s="8" t="s">
        <v>66</v>
      </c>
      <c r="E42" s="8" t="s">
        <v>67</v>
      </c>
      <c r="F42" s="8" t="s">
        <v>7</v>
      </c>
      <c r="G42" s="8">
        <v>2</v>
      </c>
      <c r="H42" s="8">
        <v>2</v>
      </c>
      <c r="I42" s="3" t="s">
        <v>7</v>
      </c>
    </row>
    <row r="43" spans="1:9" ht="33.950000000000003" customHeight="1">
      <c r="A43" s="9" t="s">
        <v>60</v>
      </c>
      <c r="B43" s="9" t="s">
        <v>98</v>
      </c>
      <c r="C43" s="9" t="s">
        <v>154</v>
      </c>
      <c r="D43" s="8" t="s">
        <v>68</v>
      </c>
      <c r="E43" s="8" t="s">
        <v>84</v>
      </c>
      <c r="F43" s="8" t="s">
        <v>7</v>
      </c>
      <c r="G43" s="8">
        <v>2</v>
      </c>
      <c r="H43" s="8">
        <v>2</v>
      </c>
      <c r="I43" s="3" t="s">
        <v>7</v>
      </c>
    </row>
    <row r="44" spans="1:9" ht="33.950000000000003" customHeight="1">
      <c r="A44" s="9" t="s">
        <v>60</v>
      </c>
      <c r="B44" s="9" t="s">
        <v>98</v>
      </c>
      <c r="C44" s="9" t="s">
        <v>155</v>
      </c>
      <c r="D44" s="8" t="s">
        <v>69</v>
      </c>
      <c r="E44" s="8" t="s">
        <v>6</v>
      </c>
      <c r="F44" s="8" t="s">
        <v>7</v>
      </c>
      <c r="G44" s="8">
        <v>10</v>
      </c>
      <c r="H44" s="8">
        <v>2</v>
      </c>
      <c r="I44" s="3" t="s">
        <v>7</v>
      </c>
    </row>
    <row r="45" spans="1:9" ht="33.950000000000003" customHeight="1">
      <c r="A45" s="9" t="s">
        <v>60</v>
      </c>
      <c r="B45" s="9" t="s">
        <v>98</v>
      </c>
      <c r="C45" s="9" t="s">
        <v>156</v>
      </c>
      <c r="D45" s="8" t="s">
        <v>70</v>
      </c>
      <c r="E45" s="8" t="s">
        <v>157</v>
      </c>
      <c r="F45" s="8" t="s">
        <v>7</v>
      </c>
      <c r="G45" s="8">
        <v>2</v>
      </c>
      <c r="H45" s="8">
        <v>2</v>
      </c>
      <c r="I45" s="3" t="s">
        <v>7</v>
      </c>
    </row>
    <row r="46" spans="1:9" ht="33.950000000000003" customHeight="1">
      <c r="A46" s="9" t="s">
        <v>71</v>
      </c>
      <c r="B46" s="9" t="s">
        <v>99</v>
      </c>
      <c r="C46" s="9" t="s">
        <v>214</v>
      </c>
      <c r="D46" s="8" t="s">
        <v>72</v>
      </c>
      <c r="E46" s="8" t="s">
        <v>73</v>
      </c>
      <c r="F46" s="8" t="s">
        <v>15</v>
      </c>
      <c r="G46" s="8">
        <v>20</v>
      </c>
      <c r="H46" s="8">
        <v>10</v>
      </c>
      <c r="I46" s="3">
        <v>2026</v>
      </c>
    </row>
    <row r="47" spans="1:9" ht="56" customHeight="1">
      <c r="A47" s="9" t="s">
        <v>71</v>
      </c>
      <c r="B47" s="9" t="s">
        <v>99</v>
      </c>
      <c r="C47" s="9" t="s">
        <v>216</v>
      </c>
      <c r="D47" s="8" t="s">
        <v>74</v>
      </c>
      <c r="E47" s="8" t="s">
        <v>73</v>
      </c>
      <c r="F47" s="8" t="s">
        <v>15</v>
      </c>
      <c r="G47" s="8">
        <v>20</v>
      </c>
      <c r="H47" s="8">
        <v>10</v>
      </c>
      <c r="I47" s="3" t="s">
        <v>207</v>
      </c>
    </row>
    <row r="48" spans="1:9" ht="33.950000000000003" customHeight="1">
      <c r="A48" s="9" t="s">
        <v>71</v>
      </c>
      <c r="B48" s="9" t="s">
        <v>99</v>
      </c>
      <c r="C48" s="9" t="s">
        <v>158</v>
      </c>
      <c r="D48" s="8" t="s">
        <v>75</v>
      </c>
      <c r="E48" s="8" t="s">
        <v>73</v>
      </c>
      <c r="F48" s="8" t="s">
        <v>15</v>
      </c>
      <c r="G48" s="8">
        <v>20</v>
      </c>
      <c r="H48" s="8">
        <v>5</v>
      </c>
      <c r="I48" s="3" t="s">
        <v>208</v>
      </c>
    </row>
    <row r="49" spans="1:9" ht="33.950000000000003" customHeight="1">
      <c r="A49" s="9" t="s">
        <v>71</v>
      </c>
      <c r="B49" s="9" t="s">
        <v>99</v>
      </c>
      <c r="C49" s="9" t="s">
        <v>213</v>
      </c>
      <c r="D49" s="8"/>
      <c r="E49" s="8" t="s">
        <v>73</v>
      </c>
      <c r="F49" s="8" t="s">
        <v>15</v>
      </c>
      <c r="G49" s="8">
        <v>20</v>
      </c>
      <c r="H49" s="8">
        <v>5</v>
      </c>
      <c r="I49" s="3">
        <v>2026</v>
      </c>
    </row>
    <row r="50" spans="1:9" ht="33.950000000000003" customHeight="1">
      <c r="A50" s="9" t="s">
        <v>71</v>
      </c>
      <c r="B50" s="9" t="s">
        <v>99</v>
      </c>
      <c r="C50" s="9" t="s">
        <v>215</v>
      </c>
      <c r="D50" s="8" t="s">
        <v>76</v>
      </c>
      <c r="E50" s="8" t="s">
        <v>77</v>
      </c>
      <c r="F50" s="8" t="s">
        <v>15</v>
      </c>
      <c r="G50" s="8">
        <v>20</v>
      </c>
      <c r="H50" s="8">
        <v>5</v>
      </c>
      <c r="I50" s="3" t="s">
        <v>209</v>
      </c>
    </row>
    <row r="51" spans="1:9" ht="33.950000000000003" customHeight="1">
      <c r="A51" s="3" t="s">
        <v>88</v>
      </c>
      <c r="G51" s="3">
        <f>SUM(G2:G50)</f>
        <v>657</v>
      </c>
    </row>
    <row r="52" spans="1:9" ht="33.950000000000003" customHeight="1">
      <c r="H52" s="3" t="s">
        <v>89</v>
      </c>
    </row>
  </sheetData>
  <phoneticPr fontId="4"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B134A-5E5C-4AA6-A044-9487A4E82032}">
  <dimension ref="A1:AD50"/>
  <sheetViews>
    <sheetView topLeftCell="A5" workbookViewId="0">
      <selection activeCell="C12" sqref="C12:C13"/>
    </sheetView>
  </sheetViews>
  <sheetFormatPr baseColWidth="10" defaultColWidth="4.9375" defaultRowHeight="13.9"/>
  <cols>
    <col min="1" max="13" width="10.5" customWidth="1"/>
  </cols>
  <sheetData>
    <row r="1" spans="1:30" ht="18.5" customHeight="1">
      <c r="A1" s="49" t="s">
        <v>261</v>
      </c>
      <c r="B1" s="50" t="s">
        <v>262</v>
      </c>
      <c r="C1" s="50" t="s">
        <v>263</v>
      </c>
      <c r="D1" s="50" t="s">
        <v>264</v>
      </c>
      <c r="E1" s="51" t="s">
        <v>265</v>
      </c>
      <c r="F1" s="51" t="s">
        <v>266</v>
      </c>
      <c r="G1" s="51" t="s">
        <v>267</v>
      </c>
      <c r="H1" s="51" t="s">
        <v>268</v>
      </c>
      <c r="I1" s="51" t="s">
        <v>269</v>
      </c>
      <c r="J1" s="52" t="s">
        <v>270</v>
      </c>
      <c r="K1" s="53" t="s">
        <v>271</v>
      </c>
      <c r="L1" s="35" t="s">
        <v>1</v>
      </c>
      <c r="M1" s="35" t="s">
        <v>3</v>
      </c>
      <c r="O1" s="7" t="s">
        <v>86</v>
      </c>
      <c r="P1" s="3" t="s">
        <v>211</v>
      </c>
      <c r="Q1" s="54" t="s">
        <v>272</v>
      </c>
      <c r="R1" s="54" t="s">
        <v>273</v>
      </c>
      <c r="S1" s="54" t="s">
        <v>272</v>
      </c>
      <c r="T1" s="55" t="s">
        <v>274</v>
      </c>
      <c r="U1" s="55" t="s">
        <v>275</v>
      </c>
      <c r="V1" s="55" t="s">
        <v>276</v>
      </c>
      <c r="W1" s="55" t="s">
        <v>277</v>
      </c>
      <c r="X1" s="55" t="s">
        <v>278</v>
      </c>
      <c r="Y1" s="55" t="s">
        <v>279</v>
      </c>
      <c r="Z1" s="55" t="s">
        <v>280</v>
      </c>
      <c r="AA1" s="55" t="s">
        <v>281</v>
      </c>
      <c r="AB1" s="55" t="s">
        <v>282</v>
      </c>
      <c r="AC1" s="55" t="s">
        <v>283</v>
      </c>
      <c r="AD1" s="55" t="s">
        <v>284</v>
      </c>
    </row>
    <row r="2" spans="1:30" ht="18.5" customHeight="1">
      <c r="A2" s="56" t="s">
        <v>4</v>
      </c>
      <c r="B2" s="37" t="s">
        <v>90</v>
      </c>
      <c r="C2" s="37" t="s">
        <v>159</v>
      </c>
      <c r="D2" s="38" t="s">
        <v>6</v>
      </c>
      <c r="E2" s="57" t="s">
        <v>285</v>
      </c>
      <c r="F2" s="57"/>
      <c r="G2" s="57" t="s">
        <v>286</v>
      </c>
      <c r="H2" s="57"/>
      <c r="I2" s="57"/>
      <c r="J2" s="58">
        <v>24</v>
      </c>
      <c r="K2" s="38"/>
      <c r="L2" s="38" t="s">
        <v>287</v>
      </c>
      <c r="M2" s="38" t="s">
        <v>7</v>
      </c>
      <c r="O2" s="8">
        <v>12</v>
      </c>
      <c r="P2" s="3" t="s">
        <v>7</v>
      </c>
      <c r="Q2" s="55" t="s">
        <v>274</v>
      </c>
      <c r="R2" s="53" t="s">
        <v>261</v>
      </c>
      <c r="S2" s="54" t="s">
        <v>273</v>
      </c>
      <c r="T2" s="53" t="s">
        <v>261</v>
      </c>
      <c r="U2" s="53" t="s">
        <v>262</v>
      </c>
      <c r="V2" s="53" t="s">
        <v>263</v>
      </c>
      <c r="W2" s="53" t="s">
        <v>264</v>
      </c>
      <c r="X2" s="53" t="s">
        <v>265</v>
      </c>
      <c r="Y2" s="53" t="s">
        <v>266</v>
      </c>
      <c r="Z2" s="53" t="s">
        <v>267</v>
      </c>
      <c r="AA2" s="53" t="s">
        <v>268</v>
      </c>
      <c r="AB2" s="53" t="s">
        <v>269</v>
      </c>
      <c r="AC2" s="53" t="s">
        <v>270</v>
      </c>
      <c r="AD2" s="53" t="s">
        <v>271</v>
      </c>
    </row>
    <row r="3" spans="1:30" ht="18.5" customHeight="1">
      <c r="A3" s="56" t="s">
        <v>4</v>
      </c>
      <c r="B3" s="37" t="s">
        <v>90</v>
      </c>
      <c r="C3" s="37" t="s">
        <v>160</v>
      </c>
      <c r="D3" s="38" t="s">
        <v>9</v>
      </c>
      <c r="E3" s="57" t="s">
        <v>288</v>
      </c>
      <c r="F3" s="57"/>
      <c r="G3" s="57" t="s">
        <v>289</v>
      </c>
      <c r="H3" s="57"/>
      <c r="I3" s="57"/>
      <c r="J3" s="58">
        <v>20</v>
      </c>
      <c r="K3" s="38"/>
      <c r="L3" s="38" t="s">
        <v>8</v>
      </c>
      <c r="M3" s="38" t="s">
        <v>7</v>
      </c>
      <c r="O3" s="8">
        <v>10</v>
      </c>
      <c r="P3" s="3" t="s">
        <v>7</v>
      </c>
      <c r="Q3" s="55" t="s">
        <v>275</v>
      </c>
      <c r="R3" s="53" t="s">
        <v>262</v>
      </c>
    </row>
    <row r="4" spans="1:30" ht="18.5" customHeight="1">
      <c r="A4" s="56" t="s">
        <v>4</v>
      </c>
      <c r="B4" s="37" t="s">
        <v>91</v>
      </c>
      <c r="C4" s="37" t="s">
        <v>161</v>
      </c>
      <c r="D4" s="38" t="s">
        <v>11</v>
      </c>
      <c r="E4" s="57" t="s">
        <v>290</v>
      </c>
      <c r="F4" s="57"/>
      <c r="G4" s="57" t="s">
        <v>291</v>
      </c>
      <c r="H4" s="57"/>
      <c r="I4" s="57"/>
      <c r="J4" s="58">
        <v>10</v>
      </c>
      <c r="K4" s="38"/>
      <c r="L4" s="38" t="s">
        <v>10</v>
      </c>
      <c r="M4" s="38" t="s">
        <v>7</v>
      </c>
      <c r="O4" s="8">
        <v>4</v>
      </c>
      <c r="P4" s="3" t="s">
        <v>7</v>
      </c>
      <c r="Q4" s="55" t="s">
        <v>276</v>
      </c>
      <c r="R4" s="53" t="s">
        <v>263</v>
      </c>
    </row>
    <row r="5" spans="1:30" ht="18.5" customHeight="1">
      <c r="A5" s="56" t="s">
        <v>4</v>
      </c>
      <c r="B5" s="37" t="s">
        <v>91</v>
      </c>
      <c r="C5" s="37" t="s">
        <v>162</v>
      </c>
      <c r="D5" s="38" t="s">
        <v>6</v>
      </c>
      <c r="E5" s="57" t="s">
        <v>292</v>
      </c>
      <c r="F5" s="57"/>
      <c r="G5" s="57" t="s">
        <v>293</v>
      </c>
      <c r="H5" s="57"/>
      <c r="I5" s="57"/>
      <c r="J5" s="58">
        <v>40</v>
      </c>
      <c r="K5" s="38"/>
      <c r="L5" s="38" t="s">
        <v>12</v>
      </c>
      <c r="M5" s="38" t="s">
        <v>7</v>
      </c>
      <c r="O5" s="8">
        <v>4</v>
      </c>
      <c r="P5" s="3" t="s">
        <v>7</v>
      </c>
      <c r="Q5" s="55" t="s">
        <v>277</v>
      </c>
      <c r="R5" s="53" t="s">
        <v>264</v>
      </c>
    </row>
    <row r="6" spans="1:30" ht="18.5" customHeight="1">
      <c r="A6" s="56" t="s">
        <v>4</v>
      </c>
      <c r="B6" s="37" t="s">
        <v>91</v>
      </c>
      <c r="C6" s="37" t="s">
        <v>163</v>
      </c>
      <c r="D6" s="38" t="s">
        <v>14</v>
      </c>
      <c r="E6" s="57"/>
      <c r="F6" s="57"/>
      <c r="G6" s="57"/>
      <c r="H6" s="57"/>
      <c r="I6" s="57"/>
      <c r="J6" s="58">
        <v>100</v>
      </c>
      <c r="K6" s="38"/>
      <c r="L6" s="38" t="s">
        <v>13</v>
      </c>
      <c r="M6" s="38" t="s">
        <v>15</v>
      </c>
      <c r="O6" s="8">
        <v>10</v>
      </c>
      <c r="P6" s="3">
        <v>2029</v>
      </c>
      <c r="Q6" s="55" t="s">
        <v>278</v>
      </c>
      <c r="R6" s="53" t="s">
        <v>265</v>
      </c>
    </row>
    <row r="7" spans="1:30" ht="18.5" customHeight="1">
      <c r="A7" s="56" t="s">
        <v>4</v>
      </c>
      <c r="B7" s="37" t="s">
        <v>92</v>
      </c>
      <c r="C7" s="37" t="s">
        <v>164</v>
      </c>
      <c r="D7" s="38" t="s">
        <v>11</v>
      </c>
      <c r="E7" s="57" t="s">
        <v>294</v>
      </c>
      <c r="F7" s="57"/>
      <c r="G7" s="57" t="s">
        <v>295</v>
      </c>
      <c r="H7" s="57"/>
      <c r="I7" s="57"/>
      <c r="J7" s="58">
        <v>2</v>
      </c>
      <c r="K7" s="38"/>
      <c r="L7" s="38" t="s">
        <v>16</v>
      </c>
      <c r="M7" s="38" t="s">
        <v>7</v>
      </c>
      <c r="O7" s="8">
        <v>2</v>
      </c>
      <c r="P7" s="3" t="s">
        <v>7</v>
      </c>
      <c r="Q7" s="55" t="s">
        <v>279</v>
      </c>
      <c r="R7" s="53" t="s">
        <v>266</v>
      </c>
    </row>
    <row r="8" spans="1:30" ht="18.5" customHeight="1">
      <c r="A8" s="56" t="s">
        <v>4</v>
      </c>
      <c r="B8" s="37" t="s">
        <v>92</v>
      </c>
      <c r="C8" s="37" t="s">
        <v>165</v>
      </c>
      <c r="D8" s="38" t="s">
        <v>108</v>
      </c>
      <c r="E8" s="57" t="s">
        <v>296</v>
      </c>
      <c r="F8" s="57"/>
      <c r="G8" s="57" t="s">
        <v>297</v>
      </c>
      <c r="H8" s="57"/>
      <c r="I8" s="57"/>
      <c r="J8" s="58">
        <v>2</v>
      </c>
      <c r="K8" s="38"/>
      <c r="L8" s="38" t="s">
        <v>17</v>
      </c>
      <c r="M8" s="38" t="s">
        <v>7</v>
      </c>
      <c r="O8" s="8">
        <v>2</v>
      </c>
      <c r="P8" s="3" t="s">
        <v>7</v>
      </c>
      <c r="Q8" s="55" t="s">
        <v>280</v>
      </c>
      <c r="R8" s="53" t="s">
        <v>267</v>
      </c>
    </row>
    <row r="9" spans="1:30" ht="18.5" customHeight="1">
      <c r="A9" s="56" t="s">
        <v>18</v>
      </c>
      <c r="B9" s="37" t="s">
        <v>109</v>
      </c>
      <c r="C9" s="37" t="s">
        <v>166</v>
      </c>
      <c r="D9" s="38" t="s">
        <v>6</v>
      </c>
      <c r="E9" s="57" t="s">
        <v>298</v>
      </c>
      <c r="F9" s="57"/>
      <c r="G9" s="57" t="s">
        <v>299</v>
      </c>
      <c r="H9" s="57"/>
      <c r="I9" s="57"/>
      <c r="J9" s="58">
        <v>2</v>
      </c>
      <c r="K9" s="38"/>
      <c r="L9" s="38" t="s">
        <v>19</v>
      </c>
      <c r="M9" s="38" t="s">
        <v>7</v>
      </c>
      <c r="O9" s="8">
        <v>2</v>
      </c>
      <c r="P9" s="3" t="s">
        <v>7</v>
      </c>
      <c r="Q9" s="55" t="s">
        <v>281</v>
      </c>
      <c r="R9" s="53" t="s">
        <v>268</v>
      </c>
    </row>
    <row r="10" spans="1:30" ht="18.5" customHeight="1">
      <c r="A10" s="56" t="s">
        <v>18</v>
      </c>
      <c r="B10" s="37" t="s">
        <v>109</v>
      </c>
      <c r="C10" s="37" t="s">
        <v>167</v>
      </c>
      <c r="D10" s="38" t="s">
        <v>21</v>
      </c>
      <c r="E10" s="57" t="s">
        <v>300</v>
      </c>
      <c r="F10" s="57"/>
      <c r="G10" s="57" t="s">
        <v>301</v>
      </c>
      <c r="H10" s="57"/>
      <c r="I10" s="57"/>
      <c r="J10" s="58">
        <v>2</v>
      </c>
      <c r="K10" s="38"/>
      <c r="L10" s="38" t="s">
        <v>20</v>
      </c>
      <c r="M10" s="38" t="s">
        <v>7</v>
      </c>
      <c r="O10" s="8">
        <v>2</v>
      </c>
      <c r="P10" s="3" t="s">
        <v>7</v>
      </c>
      <c r="Q10" s="55" t="s">
        <v>282</v>
      </c>
      <c r="R10" s="53" t="s">
        <v>269</v>
      </c>
    </row>
    <row r="11" spans="1:30" ht="18.5" customHeight="1">
      <c r="A11" s="56" t="s">
        <v>18</v>
      </c>
      <c r="B11" s="37" t="s">
        <v>109</v>
      </c>
      <c r="C11" s="37" t="s">
        <v>168</v>
      </c>
      <c r="D11" s="38" t="s">
        <v>6</v>
      </c>
      <c r="E11" s="57" t="s">
        <v>302</v>
      </c>
      <c r="F11" s="57"/>
      <c r="G11" s="57" t="s">
        <v>303</v>
      </c>
      <c r="H11" s="57"/>
      <c r="I11" s="57"/>
      <c r="J11" s="58">
        <v>12</v>
      </c>
      <c r="K11" s="38"/>
      <c r="L11" s="38" t="s">
        <v>22</v>
      </c>
      <c r="M11" s="38" t="s">
        <v>7</v>
      </c>
      <c r="O11" s="8">
        <v>4</v>
      </c>
      <c r="P11" s="3" t="s">
        <v>7</v>
      </c>
      <c r="Q11" s="55" t="s">
        <v>283</v>
      </c>
      <c r="R11" s="53" t="s">
        <v>270</v>
      </c>
    </row>
    <row r="12" spans="1:30" ht="18.5" customHeight="1">
      <c r="A12" s="56" t="s">
        <v>18</v>
      </c>
      <c r="B12" s="37" t="s">
        <v>113</v>
      </c>
      <c r="C12" s="37" t="s">
        <v>350</v>
      </c>
      <c r="D12" s="38" t="s">
        <v>26</v>
      </c>
      <c r="E12" s="57" t="s">
        <v>304</v>
      </c>
      <c r="F12" s="57"/>
      <c r="G12" s="57"/>
      <c r="H12" s="57"/>
      <c r="I12" s="57"/>
      <c r="J12" s="58">
        <v>4</v>
      </c>
      <c r="K12" s="38"/>
      <c r="L12" s="38" t="s">
        <v>25</v>
      </c>
      <c r="M12" s="38" t="s">
        <v>7</v>
      </c>
      <c r="O12" s="8">
        <v>4</v>
      </c>
      <c r="P12" s="3" t="s">
        <v>7</v>
      </c>
      <c r="Q12" s="55" t="s">
        <v>284</v>
      </c>
      <c r="R12" s="53" t="s">
        <v>271</v>
      </c>
    </row>
    <row r="13" spans="1:30" ht="18.5" customHeight="1">
      <c r="A13" s="56" t="s">
        <v>18</v>
      </c>
      <c r="B13" s="37" t="s">
        <v>113</v>
      </c>
      <c r="C13" s="37" t="s">
        <v>351</v>
      </c>
      <c r="D13" s="38" t="s">
        <v>6</v>
      </c>
      <c r="E13" s="57" t="s">
        <v>305</v>
      </c>
      <c r="F13" s="57"/>
      <c r="G13" s="57"/>
      <c r="H13" s="57"/>
      <c r="I13" s="57"/>
      <c r="J13" s="58">
        <v>12</v>
      </c>
      <c r="K13" s="38"/>
      <c r="L13" s="38" t="s">
        <v>116</v>
      </c>
      <c r="M13" s="38" t="s">
        <v>7</v>
      </c>
      <c r="O13" s="8">
        <v>4</v>
      </c>
      <c r="P13" s="3" t="s">
        <v>7</v>
      </c>
    </row>
    <row r="14" spans="1:30" ht="18.5" customHeight="1">
      <c r="A14" s="56" t="s">
        <v>18</v>
      </c>
      <c r="B14" s="37" t="s">
        <v>117</v>
      </c>
      <c r="C14" s="37" t="s">
        <v>171</v>
      </c>
      <c r="D14" s="38" t="s">
        <v>21</v>
      </c>
      <c r="E14" s="57" t="s">
        <v>306</v>
      </c>
      <c r="F14" s="57"/>
      <c r="G14" s="57"/>
      <c r="H14" s="57"/>
      <c r="I14" s="57"/>
      <c r="J14" s="58">
        <v>25</v>
      </c>
      <c r="K14" s="38"/>
      <c r="L14" s="38" t="s">
        <v>23</v>
      </c>
      <c r="M14" s="38" t="s">
        <v>7</v>
      </c>
      <c r="O14" s="8">
        <v>15</v>
      </c>
      <c r="P14" s="3" t="s">
        <v>7</v>
      </c>
    </row>
    <row r="15" spans="1:30" ht="18.5" customHeight="1">
      <c r="A15" s="56" t="s">
        <v>18</v>
      </c>
      <c r="B15" s="37" t="s">
        <v>117</v>
      </c>
      <c r="C15" s="37" t="s">
        <v>172</v>
      </c>
      <c r="D15" s="38" t="s">
        <v>6</v>
      </c>
      <c r="E15" s="57" t="s">
        <v>307</v>
      </c>
      <c r="F15" s="57"/>
      <c r="G15" s="57" t="s">
        <v>308</v>
      </c>
      <c r="H15" s="57"/>
      <c r="I15" s="57"/>
      <c r="J15" s="58">
        <v>25</v>
      </c>
      <c r="K15" s="38"/>
      <c r="L15" s="38" t="s">
        <v>24</v>
      </c>
      <c r="M15" s="38" t="s">
        <v>7</v>
      </c>
      <c r="O15" s="8">
        <v>5</v>
      </c>
      <c r="P15" s="3" t="s">
        <v>7</v>
      </c>
    </row>
    <row r="16" spans="1:30" ht="18.5" customHeight="1">
      <c r="A16" s="56" t="s">
        <v>27</v>
      </c>
      <c r="B16" s="37" t="s">
        <v>93</v>
      </c>
      <c r="C16" s="37" t="s">
        <v>173</v>
      </c>
      <c r="D16" s="38" t="s">
        <v>6</v>
      </c>
      <c r="E16" s="57" t="s">
        <v>309</v>
      </c>
      <c r="F16" s="57"/>
      <c r="G16" s="57" t="s">
        <v>310</v>
      </c>
      <c r="H16" s="57"/>
      <c r="I16" s="57"/>
      <c r="J16" s="58">
        <v>20</v>
      </c>
      <c r="K16" s="38"/>
      <c r="L16" s="38" t="s">
        <v>28</v>
      </c>
      <c r="M16" s="38" t="s">
        <v>7</v>
      </c>
      <c r="O16" s="8">
        <v>6</v>
      </c>
      <c r="P16" s="3" t="s">
        <v>7</v>
      </c>
    </row>
    <row r="17" spans="1:16" ht="18.5" customHeight="1">
      <c r="A17" s="56" t="s">
        <v>27</v>
      </c>
      <c r="B17" s="37" t="s">
        <v>121</v>
      </c>
      <c r="C17" s="37" t="s">
        <v>174</v>
      </c>
      <c r="D17" s="38" t="s">
        <v>6</v>
      </c>
      <c r="E17" s="57" t="s">
        <v>311</v>
      </c>
      <c r="F17" s="57"/>
      <c r="G17" s="57" t="s">
        <v>312</v>
      </c>
      <c r="H17" s="57"/>
      <c r="I17" s="57"/>
      <c r="J17" s="58">
        <v>20</v>
      </c>
      <c r="K17" s="38"/>
      <c r="L17" s="38" t="s">
        <v>29</v>
      </c>
      <c r="M17" s="38" t="s">
        <v>7</v>
      </c>
      <c r="O17" s="8">
        <v>6</v>
      </c>
      <c r="P17" s="3" t="s">
        <v>7</v>
      </c>
    </row>
    <row r="18" spans="1:16" ht="18.5" customHeight="1">
      <c r="A18" s="56" t="s">
        <v>27</v>
      </c>
      <c r="B18" s="37" t="s">
        <v>121</v>
      </c>
      <c r="C18" s="37" t="s">
        <v>175</v>
      </c>
      <c r="D18" s="38" t="s">
        <v>6</v>
      </c>
      <c r="E18" s="57" t="s">
        <v>313</v>
      </c>
      <c r="F18" s="57"/>
      <c r="G18" s="57" t="s">
        <v>314</v>
      </c>
      <c r="H18" s="57"/>
      <c r="I18" s="57"/>
      <c r="J18" s="58">
        <v>10</v>
      </c>
      <c r="K18" s="38"/>
      <c r="L18" s="38" t="s">
        <v>30</v>
      </c>
      <c r="M18" s="38" t="s">
        <v>7</v>
      </c>
      <c r="O18" s="8">
        <v>4</v>
      </c>
      <c r="P18" s="3" t="s">
        <v>7</v>
      </c>
    </row>
    <row r="19" spans="1:16" ht="18.5" customHeight="1">
      <c r="A19" s="56" t="s">
        <v>27</v>
      </c>
      <c r="B19" s="37" t="s">
        <v>94</v>
      </c>
      <c r="C19" s="37" t="s">
        <v>254</v>
      </c>
      <c r="D19" s="38" t="s">
        <v>6</v>
      </c>
      <c r="E19" s="57" t="s">
        <v>315</v>
      </c>
      <c r="F19" s="57"/>
      <c r="G19" s="57" t="s">
        <v>316</v>
      </c>
      <c r="H19" s="57"/>
      <c r="I19" s="57"/>
      <c r="J19" s="58">
        <v>10</v>
      </c>
      <c r="K19" s="38"/>
      <c r="L19" s="38" t="s">
        <v>31</v>
      </c>
      <c r="M19" s="38" t="s">
        <v>7</v>
      </c>
      <c r="O19" s="8">
        <v>2</v>
      </c>
      <c r="P19" s="3" t="s">
        <v>7</v>
      </c>
    </row>
    <row r="20" spans="1:16" ht="18.5" customHeight="1">
      <c r="A20" s="56" t="s">
        <v>27</v>
      </c>
      <c r="B20" s="37" t="s">
        <v>94</v>
      </c>
      <c r="C20" s="37" t="s">
        <v>176</v>
      </c>
      <c r="D20" s="38" t="s">
        <v>6</v>
      </c>
      <c r="E20" s="57" t="s">
        <v>317</v>
      </c>
      <c r="F20" s="57"/>
      <c r="G20" s="57" t="s">
        <v>318</v>
      </c>
      <c r="H20" s="57"/>
      <c r="I20" s="57"/>
      <c r="J20" s="58">
        <v>2</v>
      </c>
      <c r="K20" s="38"/>
      <c r="L20" s="38" t="s">
        <v>32</v>
      </c>
      <c r="M20" s="38" t="s">
        <v>7</v>
      </c>
      <c r="O20" s="8">
        <v>1</v>
      </c>
      <c r="P20" s="3" t="s">
        <v>7</v>
      </c>
    </row>
    <row r="21" spans="1:16" ht="18.5" customHeight="1">
      <c r="A21" s="56" t="s">
        <v>27</v>
      </c>
      <c r="B21" s="37" t="s">
        <v>94</v>
      </c>
      <c r="C21" s="37" t="s">
        <v>177</v>
      </c>
      <c r="D21" s="38" t="s">
        <v>6</v>
      </c>
      <c r="E21" s="57" t="s">
        <v>319</v>
      </c>
      <c r="F21" s="57"/>
      <c r="G21" s="57"/>
      <c r="H21" s="57"/>
      <c r="I21" s="57"/>
      <c r="J21" s="58">
        <v>20</v>
      </c>
      <c r="K21" s="38"/>
      <c r="L21" s="38" t="s">
        <v>33</v>
      </c>
      <c r="M21" s="38" t="s">
        <v>7</v>
      </c>
      <c r="O21" s="8">
        <v>4</v>
      </c>
      <c r="P21" s="3" t="s">
        <v>7</v>
      </c>
    </row>
    <row r="22" spans="1:16" ht="18.5" customHeight="1">
      <c r="A22" s="56" t="s">
        <v>41</v>
      </c>
      <c r="B22" s="37" t="s">
        <v>126</v>
      </c>
      <c r="C22" s="37" t="s">
        <v>178</v>
      </c>
      <c r="D22" s="38" t="s">
        <v>35</v>
      </c>
      <c r="E22" s="57"/>
      <c r="F22" s="57"/>
      <c r="G22" s="57"/>
      <c r="H22" s="57"/>
      <c r="I22" s="57"/>
      <c r="J22" s="58">
        <v>10</v>
      </c>
      <c r="K22" s="38"/>
      <c r="L22" s="38" t="s">
        <v>34</v>
      </c>
      <c r="M22" s="38" t="s">
        <v>15</v>
      </c>
      <c r="O22" s="8">
        <v>2</v>
      </c>
      <c r="P22" s="3">
        <v>2027</v>
      </c>
    </row>
    <row r="23" spans="1:16" ht="18.5" customHeight="1">
      <c r="A23" s="56" t="s">
        <v>41</v>
      </c>
      <c r="B23" s="37" t="s">
        <v>126</v>
      </c>
      <c r="C23" s="37" t="s">
        <v>179</v>
      </c>
      <c r="D23" s="38" t="s">
        <v>37</v>
      </c>
      <c r="E23" s="57"/>
      <c r="F23" s="57"/>
      <c r="G23" s="57"/>
      <c r="H23" s="57"/>
      <c r="I23" s="57"/>
      <c r="J23" s="58">
        <v>10</v>
      </c>
      <c r="K23" s="38"/>
      <c r="L23" s="38" t="s">
        <v>36</v>
      </c>
      <c r="M23" s="38" t="s">
        <v>15</v>
      </c>
      <c r="O23" s="8">
        <v>4</v>
      </c>
      <c r="P23" s="3">
        <v>2027</v>
      </c>
    </row>
    <row r="24" spans="1:16" ht="18.5" customHeight="1">
      <c r="A24" s="56" t="s">
        <v>41</v>
      </c>
      <c r="B24" s="37" t="s">
        <v>129</v>
      </c>
      <c r="C24" s="37" t="s">
        <v>180</v>
      </c>
      <c r="D24" s="38" t="s">
        <v>35</v>
      </c>
      <c r="E24" s="57"/>
      <c r="F24" s="57"/>
      <c r="G24" s="57"/>
      <c r="H24" s="57"/>
      <c r="I24" s="57"/>
      <c r="J24" s="58">
        <v>10</v>
      </c>
      <c r="K24" s="38"/>
      <c r="L24" s="38" t="s">
        <v>38</v>
      </c>
      <c r="M24" s="38" t="s">
        <v>7</v>
      </c>
      <c r="O24" s="8">
        <v>10</v>
      </c>
      <c r="P24" s="3" t="s">
        <v>209</v>
      </c>
    </row>
    <row r="25" spans="1:16" ht="18.5" customHeight="1">
      <c r="A25" s="56" t="s">
        <v>41</v>
      </c>
      <c r="B25" s="37" t="s">
        <v>129</v>
      </c>
      <c r="C25" s="37" t="s">
        <v>181</v>
      </c>
      <c r="D25" s="38" t="s">
        <v>35</v>
      </c>
      <c r="E25" s="57"/>
      <c r="F25" s="57"/>
      <c r="G25" s="57"/>
      <c r="H25" s="57"/>
      <c r="I25" s="57"/>
      <c r="J25" s="58">
        <v>2</v>
      </c>
      <c r="K25" s="38"/>
      <c r="L25" s="38" t="s">
        <v>39</v>
      </c>
      <c r="M25" s="38" t="s">
        <v>7</v>
      </c>
      <c r="O25" s="8">
        <v>2</v>
      </c>
      <c r="P25" s="3" t="s">
        <v>209</v>
      </c>
    </row>
    <row r="26" spans="1:16" ht="18.5" customHeight="1">
      <c r="A26" s="56" t="s">
        <v>41</v>
      </c>
      <c r="B26" s="37" t="s">
        <v>129</v>
      </c>
      <c r="C26" s="37" t="s">
        <v>182</v>
      </c>
      <c r="D26" s="38" t="s">
        <v>37</v>
      </c>
      <c r="E26" s="57"/>
      <c r="F26" s="57"/>
      <c r="G26" s="57"/>
      <c r="H26" s="57"/>
      <c r="I26" s="57"/>
      <c r="J26" s="58">
        <v>10</v>
      </c>
      <c r="K26" s="38"/>
      <c r="L26" s="38" t="s">
        <v>40</v>
      </c>
      <c r="M26" s="38" t="s">
        <v>7</v>
      </c>
      <c r="O26" s="8">
        <v>4</v>
      </c>
      <c r="P26" s="3" t="s">
        <v>209</v>
      </c>
    </row>
    <row r="27" spans="1:16" ht="18.5" customHeight="1">
      <c r="A27" s="56" t="s">
        <v>42</v>
      </c>
      <c r="B27" s="37" t="s">
        <v>133</v>
      </c>
      <c r="C27" s="37" t="s">
        <v>183</v>
      </c>
      <c r="D27" s="38" t="s">
        <v>44</v>
      </c>
      <c r="E27" s="57" t="s">
        <v>320</v>
      </c>
      <c r="F27" s="57"/>
      <c r="G27" s="57" t="s">
        <v>321</v>
      </c>
      <c r="H27" s="57"/>
      <c r="I27" s="57"/>
      <c r="J27" s="58">
        <v>2</v>
      </c>
      <c r="K27" s="38"/>
      <c r="L27" s="38" t="s">
        <v>43</v>
      </c>
      <c r="M27" s="38" t="s">
        <v>7</v>
      </c>
      <c r="O27" s="8">
        <v>100</v>
      </c>
      <c r="P27" s="3" t="s">
        <v>7</v>
      </c>
    </row>
    <row r="28" spans="1:16" ht="18.5" customHeight="1">
      <c r="A28" s="56" t="s">
        <v>42</v>
      </c>
      <c r="B28" s="37" t="s">
        <v>133</v>
      </c>
      <c r="C28" s="37" t="s">
        <v>184</v>
      </c>
      <c r="D28" s="38" t="s">
        <v>136</v>
      </c>
      <c r="E28" s="57" t="s">
        <v>322</v>
      </c>
      <c r="F28" s="57"/>
      <c r="G28" s="57" t="s">
        <v>323</v>
      </c>
      <c r="H28" s="57"/>
      <c r="I28" s="57"/>
      <c r="J28" s="58">
        <v>2</v>
      </c>
      <c r="K28" s="38"/>
      <c r="L28" s="38" t="s">
        <v>45</v>
      </c>
      <c r="M28" s="38" t="s">
        <v>7</v>
      </c>
      <c r="O28" s="8">
        <v>4</v>
      </c>
      <c r="P28" s="3" t="s">
        <v>7</v>
      </c>
    </row>
    <row r="29" spans="1:16" ht="18.5" customHeight="1">
      <c r="A29" s="56" t="s">
        <v>56</v>
      </c>
      <c r="B29" s="37" t="s">
        <v>137</v>
      </c>
      <c r="C29" s="37" t="s">
        <v>185</v>
      </c>
      <c r="D29" s="38" t="s">
        <v>139</v>
      </c>
      <c r="E29" s="57" t="s">
        <v>324</v>
      </c>
      <c r="F29" s="57"/>
      <c r="G29" s="57" t="s">
        <v>325</v>
      </c>
      <c r="H29" s="57"/>
      <c r="I29" s="57"/>
      <c r="J29" s="58">
        <v>5</v>
      </c>
      <c r="K29" s="38"/>
      <c r="L29" s="38" t="s">
        <v>57</v>
      </c>
      <c r="M29" s="38" t="s">
        <v>7</v>
      </c>
      <c r="O29" s="8">
        <v>2</v>
      </c>
      <c r="P29" s="3" t="s">
        <v>7</v>
      </c>
    </row>
    <row r="30" spans="1:16" ht="18.5" customHeight="1">
      <c r="A30" s="56" t="s">
        <v>56</v>
      </c>
      <c r="B30" s="37" t="s">
        <v>137</v>
      </c>
      <c r="C30" s="37" t="s">
        <v>255</v>
      </c>
      <c r="D30" s="38" t="s">
        <v>44</v>
      </c>
      <c r="E30" s="57" t="s">
        <v>326</v>
      </c>
      <c r="F30" s="57"/>
      <c r="G30" s="57" t="s">
        <v>327</v>
      </c>
      <c r="H30" s="57"/>
      <c r="I30" s="57"/>
      <c r="J30" s="58">
        <v>10</v>
      </c>
      <c r="K30" s="38"/>
      <c r="L30" s="38" t="s">
        <v>58</v>
      </c>
      <c r="M30" s="38" t="s">
        <v>15</v>
      </c>
      <c r="O30" s="8">
        <v>4</v>
      </c>
      <c r="P30" s="3">
        <v>2027</v>
      </c>
    </row>
    <row r="31" spans="1:16" ht="18.5" customHeight="1">
      <c r="A31" s="56" t="s">
        <v>56</v>
      </c>
      <c r="B31" s="37" t="s">
        <v>137</v>
      </c>
      <c r="C31" s="37" t="s">
        <v>186</v>
      </c>
      <c r="D31" s="38" t="s">
        <v>84</v>
      </c>
      <c r="E31" s="57" t="s">
        <v>328</v>
      </c>
      <c r="F31" s="57"/>
      <c r="G31" s="57" t="s">
        <v>329</v>
      </c>
      <c r="H31" s="57"/>
      <c r="I31" s="57"/>
      <c r="J31" s="58">
        <v>10</v>
      </c>
      <c r="K31" s="38"/>
      <c r="L31" s="38" t="s">
        <v>59</v>
      </c>
      <c r="M31" s="38" t="s">
        <v>15</v>
      </c>
      <c r="O31" s="8">
        <v>2</v>
      </c>
      <c r="P31" s="3">
        <v>2027</v>
      </c>
    </row>
    <row r="32" spans="1:16" ht="18.5" customHeight="1">
      <c r="A32" s="56" t="s">
        <v>46</v>
      </c>
      <c r="B32" s="37" t="s">
        <v>95</v>
      </c>
      <c r="C32" s="37" t="s">
        <v>187</v>
      </c>
      <c r="D32" s="38" t="s">
        <v>26</v>
      </c>
      <c r="E32" s="57" t="s">
        <v>330</v>
      </c>
      <c r="F32" s="57"/>
      <c r="G32" s="57" t="s">
        <v>301</v>
      </c>
      <c r="H32" s="57"/>
      <c r="I32" s="57"/>
      <c r="J32" s="58">
        <v>2</v>
      </c>
      <c r="K32" s="38"/>
      <c r="L32" s="38" t="s">
        <v>47</v>
      </c>
      <c r="M32" s="38" t="s">
        <v>7</v>
      </c>
      <c r="O32" s="8">
        <v>2</v>
      </c>
      <c r="P32" s="3" t="s">
        <v>7</v>
      </c>
    </row>
    <row r="33" spans="1:16" ht="18.5" customHeight="1">
      <c r="A33" s="56" t="s">
        <v>46</v>
      </c>
      <c r="B33" s="37" t="s">
        <v>95</v>
      </c>
      <c r="C33" s="37" t="s">
        <v>188</v>
      </c>
      <c r="D33" s="38" t="s">
        <v>49</v>
      </c>
      <c r="E33" s="57" t="s">
        <v>331</v>
      </c>
      <c r="F33" s="57"/>
      <c r="G33" s="57"/>
      <c r="H33" s="57"/>
      <c r="I33" s="57"/>
      <c r="J33" s="58">
        <v>2</v>
      </c>
      <c r="K33" s="38"/>
      <c r="L33" s="38" t="s">
        <v>48</v>
      </c>
      <c r="M33" s="38" t="s">
        <v>7</v>
      </c>
      <c r="O33" s="8">
        <v>2</v>
      </c>
      <c r="P33" s="3" t="s">
        <v>7</v>
      </c>
    </row>
    <row r="34" spans="1:16" ht="18.5" customHeight="1">
      <c r="A34" s="56" t="s">
        <v>46</v>
      </c>
      <c r="B34" s="37" t="s">
        <v>96</v>
      </c>
      <c r="C34" s="37" t="s">
        <v>189</v>
      </c>
      <c r="D34" s="38" t="s">
        <v>84</v>
      </c>
      <c r="E34" s="57" t="s">
        <v>332</v>
      </c>
      <c r="F34" s="57"/>
      <c r="G34" s="57" t="s">
        <v>333</v>
      </c>
      <c r="H34" s="57"/>
      <c r="I34" s="57"/>
      <c r="J34" s="58">
        <v>2</v>
      </c>
      <c r="K34" s="38"/>
      <c r="L34" s="38" t="s">
        <v>50</v>
      </c>
      <c r="M34" s="38" t="s">
        <v>15</v>
      </c>
      <c r="O34" s="8">
        <v>2</v>
      </c>
      <c r="P34" s="3">
        <v>2026</v>
      </c>
    </row>
    <row r="35" spans="1:16" ht="18.5" customHeight="1">
      <c r="A35" s="56" t="s">
        <v>46</v>
      </c>
      <c r="B35" s="37" t="s">
        <v>96</v>
      </c>
      <c r="C35" s="37" t="s">
        <v>190</v>
      </c>
      <c r="D35" s="38" t="s">
        <v>6</v>
      </c>
      <c r="E35" s="57" t="s">
        <v>334</v>
      </c>
      <c r="F35" s="57"/>
      <c r="G35" s="57" t="s">
        <v>335</v>
      </c>
      <c r="H35" s="57"/>
      <c r="I35" s="57"/>
      <c r="J35" s="58">
        <v>10</v>
      </c>
      <c r="K35" s="38"/>
      <c r="L35" s="38" t="s">
        <v>51</v>
      </c>
      <c r="M35" s="38" t="s">
        <v>7</v>
      </c>
      <c r="O35" s="8">
        <v>4</v>
      </c>
      <c r="P35" s="3" t="s">
        <v>7</v>
      </c>
    </row>
    <row r="36" spans="1:16" ht="18.5" customHeight="1">
      <c r="A36" s="56" t="s">
        <v>46</v>
      </c>
      <c r="B36" s="37" t="s">
        <v>145</v>
      </c>
      <c r="C36" s="37" t="s">
        <v>191</v>
      </c>
      <c r="D36" s="38" t="s">
        <v>147</v>
      </c>
      <c r="E36" s="57" t="s">
        <v>336</v>
      </c>
      <c r="F36" s="57"/>
      <c r="G36" s="57" t="s">
        <v>337</v>
      </c>
      <c r="H36" s="57"/>
      <c r="I36" s="57"/>
      <c r="J36" s="58">
        <v>2</v>
      </c>
      <c r="K36" s="38"/>
      <c r="L36" s="38" t="s">
        <v>52</v>
      </c>
      <c r="M36" s="38" t="s">
        <v>15</v>
      </c>
      <c r="O36" s="8">
        <v>2</v>
      </c>
      <c r="P36" s="3">
        <v>2026</v>
      </c>
    </row>
    <row r="37" spans="1:16" ht="18.5" customHeight="1">
      <c r="A37" s="56" t="s">
        <v>46</v>
      </c>
      <c r="B37" s="37" t="s">
        <v>145</v>
      </c>
      <c r="C37" s="37" t="s">
        <v>192</v>
      </c>
      <c r="D37" s="38" t="s">
        <v>6</v>
      </c>
      <c r="E37" s="57"/>
      <c r="F37" s="57"/>
      <c r="G37" s="57"/>
      <c r="H37" s="57"/>
      <c r="I37" s="57"/>
      <c r="J37" s="58">
        <v>20</v>
      </c>
      <c r="K37" s="38"/>
      <c r="L37" s="38" t="s">
        <v>53</v>
      </c>
      <c r="M37" s="38" t="s">
        <v>15</v>
      </c>
      <c r="O37" s="8">
        <v>8</v>
      </c>
      <c r="P37" s="3">
        <v>2027</v>
      </c>
    </row>
    <row r="38" spans="1:16" ht="18.5" customHeight="1">
      <c r="A38" s="56" t="s">
        <v>46</v>
      </c>
      <c r="B38" s="37" t="s">
        <v>145</v>
      </c>
      <c r="C38" s="37" t="s">
        <v>193</v>
      </c>
      <c r="D38" s="38" t="s">
        <v>6</v>
      </c>
      <c r="E38" s="57"/>
      <c r="F38" s="57"/>
      <c r="G38" s="57"/>
      <c r="H38" s="57"/>
      <c r="I38" s="57"/>
      <c r="J38" s="58">
        <v>20</v>
      </c>
      <c r="K38" s="38"/>
      <c r="L38" s="38" t="s">
        <v>54</v>
      </c>
      <c r="M38" s="38" t="s">
        <v>15</v>
      </c>
      <c r="O38" s="8">
        <v>10</v>
      </c>
      <c r="P38" s="3">
        <v>2028</v>
      </c>
    </row>
    <row r="39" spans="1:16" ht="18.5" customHeight="1">
      <c r="A39" s="56" t="s">
        <v>46</v>
      </c>
      <c r="B39" s="37" t="s">
        <v>145</v>
      </c>
      <c r="C39" s="37" t="s">
        <v>194</v>
      </c>
      <c r="D39" s="38" t="s">
        <v>6</v>
      </c>
      <c r="E39" s="57"/>
      <c r="F39" s="57"/>
      <c r="G39" s="57"/>
      <c r="H39" s="57"/>
      <c r="I39" s="57"/>
      <c r="J39" s="58">
        <v>20</v>
      </c>
      <c r="K39" s="38"/>
      <c r="L39" s="38" t="s">
        <v>55</v>
      </c>
      <c r="M39" s="38" t="s">
        <v>15</v>
      </c>
      <c r="O39" s="8">
        <v>10</v>
      </c>
      <c r="P39" s="3">
        <v>2028</v>
      </c>
    </row>
    <row r="40" spans="1:16" ht="18.5" customHeight="1">
      <c r="A40" s="56" t="s">
        <v>46</v>
      </c>
      <c r="B40" s="37" t="s">
        <v>145</v>
      </c>
      <c r="C40" s="37" t="s">
        <v>195</v>
      </c>
      <c r="D40" s="38" t="s">
        <v>6</v>
      </c>
      <c r="E40" s="57"/>
      <c r="F40" s="57"/>
      <c r="G40" s="57"/>
      <c r="H40" s="57"/>
      <c r="I40" s="57"/>
      <c r="J40" s="58">
        <v>20</v>
      </c>
      <c r="K40" s="38"/>
      <c r="L40" s="38" t="s">
        <v>61</v>
      </c>
      <c r="M40" s="38" t="s">
        <v>15</v>
      </c>
      <c r="O40" s="8">
        <v>10</v>
      </c>
      <c r="P40" s="3">
        <v>2027</v>
      </c>
    </row>
    <row r="41" spans="1:16" ht="18.5" customHeight="1">
      <c r="A41" s="56" t="s">
        <v>60</v>
      </c>
      <c r="B41" s="37" t="s">
        <v>97</v>
      </c>
      <c r="C41" s="37" t="s">
        <v>196</v>
      </c>
      <c r="D41" s="38" t="s">
        <v>65</v>
      </c>
      <c r="E41" s="57" t="s">
        <v>338</v>
      </c>
      <c r="F41" s="57"/>
      <c r="G41" s="57" t="s">
        <v>339</v>
      </c>
      <c r="H41" s="57"/>
      <c r="I41" s="57"/>
      <c r="J41" s="58">
        <v>10</v>
      </c>
      <c r="K41" s="38"/>
      <c r="L41" s="38" t="s">
        <v>64</v>
      </c>
      <c r="M41" s="38" t="s">
        <v>15</v>
      </c>
      <c r="O41" s="8">
        <v>4</v>
      </c>
      <c r="P41" s="3" t="s">
        <v>210</v>
      </c>
    </row>
    <row r="42" spans="1:16" ht="18.5" customHeight="1">
      <c r="A42" s="56" t="s">
        <v>60</v>
      </c>
      <c r="B42" s="37" t="s">
        <v>97</v>
      </c>
      <c r="C42" s="37" t="s">
        <v>197</v>
      </c>
      <c r="D42" s="38" t="s">
        <v>67</v>
      </c>
      <c r="E42" s="57" t="s">
        <v>340</v>
      </c>
      <c r="F42" s="57"/>
      <c r="G42" s="57" t="s">
        <v>301</v>
      </c>
      <c r="H42" s="57"/>
      <c r="I42" s="57"/>
      <c r="J42" s="58">
        <v>2</v>
      </c>
      <c r="K42" s="38"/>
      <c r="L42" s="38" t="s">
        <v>66</v>
      </c>
      <c r="M42" s="38" t="s">
        <v>7</v>
      </c>
      <c r="O42" s="8">
        <v>2</v>
      </c>
      <c r="P42" s="3" t="s">
        <v>7</v>
      </c>
    </row>
    <row r="43" spans="1:16" ht="18.5" customHeight="1">
      <c r="A43" s="56" t="s">
        <v>60</v>
      </c>
      <c r="B43" s="37" t="s">
        <v>98</v>
      </c>
      <c r="C43" s="37" t="s">
        <v>198</v>
      </c>
      <c r="D43" s="38" t="s">
        <v>84</v>
      </c>
      <c r="E43" s="57" t="s">
        <v>341</v>
      </c>
      <c r="F43" s="57"/>
      <c r="G43" s="57" t="s">
        <v>342</v>
      </c>
      <c r="H43" s="57"/>
      <c r="I43" s="57"/>
      <c r="J43" s="58">
        <v>2</v>
      </c>
      <c r="K43" s="38"/>
      <c r="L43" s="38" t="s">
        <v>68</v>
      </c>
      <c r="M43" s="38" t="s">
        <v>7</v>
      </c>
      <c r="O43" s="8">
        <v>2</v>
      </c>
      <c r="P43" s="3" t="s">
        <v>7</v>
      </c>
    </row>
    <row r="44" spans="1:16" ht="18.5" customHeight="1">
      <c r="A44" s="56" t="s">
        <v>60</v>
      </c>
      <c r="B44" s="37" t="s">
        <v>98</v>
      </c>
      <c r="C44" s="37" t="s">
        <v>199</v>
      </c>
      <c r="D44" s="38" t="s">
        <v>6</v>
      </c>
      <c r="E44" s="57" t="s">
        <v>343</v>
      </c>
      <c r="F44" s="57"/>
      <c r="G44" s="57" t="s">
        <v>344</v>
      </c>
      <c r="H44" s="57"/>
      <c r="I44" s="57"/>
      <c r="J44" s="58">
        <v>10</v>
      </c>
      <c r="K44" s="38"/>
      <c r="L44" s="38" t="s">
        <v>69</v>
      </c>
      <c r="M44" s="38" t="s">
        <v>7</v>
      </c>
      <c r="O44" s="8">
        <v>2</v>
      </c>
      <c r="P44" s="3" t="s">
        <v>7</v>
      </c>
    </row>
    <row r="45" spans="1:16" ht="18.5" customHeight="1">
      <c r="A45" s="56" t="s">
        <v>60</v>
      </c>
      <c r="B45" s="37" t="s">
        <v>98</v>
      </c>
      <c r="C45" s="37" t="s">
        <v>200</v>
      </c>
      <c r="D45" s="38" t="s">
        <v>157</v>
      </c>
      <c r="E45" s="57" t="s">
        <v>345</v>
      </c>
      <c r="F45" s="57"/>
      <c r="G45" s="57" t="s">
        <v>346</v>
      </c>
      <c r="H45" s="57"/>
      <c r="I45" s="57"/>
      <c r="J45" s="58">
        <v>2</v>
      </c>
      <c r="K45" s="38"/>
      <c r="L45" s="38" t="s">
        <v>70</v>
      </c>
      <c r="M45" s="38" t="s">
        <v>7</v>
      </c>
      <c r="O45" s="8">
        <v>2</v>
      </c>
      <c r="P45" s="3" t="s">
        <v>7</v>
      </c>
    </row>
    <row r="46" spans="1:16" ht="18.5" customHeight="1">
      <c r="A46" s="56" t="s">
        <v>71</v>
      </c>
      <c r="B46" s="37" t="s">
        <v>99</v>
      </c>
      <c r="C46" s="37" t="s">
        <v>256</v>
      </c>
      <c r="D46" s="38" t="s">
        <v>73</v>
      </c>
      <c r="E46" s="57" t="s">
        <v>347</v>
      </c>
      <c r="F46" s="57"/>
      <c r="G46" s="57" t="s">
        <v>348</v>
      </c>
      <c r="H46" s="57"/>
      <c r="I46" s="57"/>
      <c r="J46" s="58">
        <v>20</v>
      </c>
      <c r="K46" s="38"/>
      <c r="L46" s="38" t="s">
        <v>72</v>
      </c>
      <c r="M46" s="38" t="s">
        <v>15</v>
      </c>
      <c r="O46" s="8">
        <v>10</v>
      </c>
      <c r="P46" s="3">
        <v>2026</v>
      </c>
    </row>
    <row r="47" spans="1:16" ht="18.5" customHeight="1">
      <c r="A47" s="56" t="s">
        <v>71</v>
      </c>
      <c r="B47" s="37" t="s">
        <v>99</v>
      </c>
      <c r="C47" s="37" t="s">
        <v>257</v>
      </c>
      <c r="D47" s="38" t="s">
        <v>73</v>
      </c>
      <c r="E47" s="57" t="s">
        <v>349</v>
      </c>
      <c r="F47" s="57"/>
      <c r="G47" s="57"/>
      <c r="H47" s="57"/>
      <c r="I47" s="57"/>
      <c r="J47" s="58">
        <v>20</v>
      </c>
      <c r="K47" s="38"/>
      <c r="L47" s="38" t="s">
        <v>74</v>
      </c>
      <c r="M47" s="38" t="s">
        <v>15</v>
      </c>
      <c r="O47" s="8">
        <v>10</v>
      </c>
      <c r="P47" s="3" t="s">
        <v>207</v>
      </c>
    </row>
    <row r="48" spans="1:16" ht="18.5" customHeight="1">
      <c r="A48" s="56" t="s">
        <v>71</v>
      </c>
      <c r="B48" s="37" t="s">
        <v>99</v>
      </c>
      <c r="C48" s="37" t="s">
        <v>201</v>
      </c>
      <c r="D48" s="38" t="s">
        <v>73</v>
      </c>
      <c r="E48" s="57"/>
      <c r="F48" s="57"/>
      <c r="G48" s="57"/>
      <c r="H48" s="57"/>
      <c r="I48" s="57"/>
      <c r="J48" s="58">
        <v>20</v>
      </c>
      <c r="K48" s="38"/>
      <c r="L48" s="38" t="s">
        <v>75</v>
      </c>
      <c r="M48" s="38" t="s">
        <v>15</v>
      </c>
      <c r="O48" s="8">
        <v>5</v>
      </c>
      <c r="P48" s="3" t="s">
        <v>208</v>
      </c>
    </row>
    <row r="49" spans="1:16" ht="18.5" customHeight="1">
      <c r="A49" s="56" t="s">
        <v>71</v>
      </c>
      <c r="B49" s="37" t="s">
        <v>99</v>
      </c>
      <c r="C49" s="37" t="s">
        <v>258</v>
      </c>
      <c r="D49" s="38" t="s">
        <v>73</v>
      </c>
      <c r="E49" s="57"/>
      <c r="F49" s="57"/>
      <c r="G49" s="57"/>
      <c r="H49" s="57"/>
      <c r="I49" s="57"/>
      <c r="J49" s="58">
        <v>20</v>
      </c>
      <c r="K49" s="38"/>
      <c r="L49" s="38"/>
      <c r="M49" s="38" t="s">
        <v>15</v>
      </c>
      <c r="O49" s="8">
        <v>5</v>
      </c>
      <c r="P49" s="3">
        <v>2026</v>
      </c>
    </row>
    <row r="50" spans="1:16" ht="18.5" customHeight="1">
      <c r="A50" s="59" t="s">
        <v>71</v>
      </c>
      <c r="B50" s="40" t="s">
        <v>99</v>
      </c>
      <c r="C50" s="40" t="s">
        <v>259</v>
      </c>
      <c r="D50" s="41" t="s">
        <v>77</v>
      </c>
      <c r="E50" s="60"/>
      <c r="F50" s="60"/>
      <c r="G50" s="60"/>
      <c r="H50" s="60"/>
      <c r="I50" s="60"/>
      <c r="J50" s="61">
        <v>20</v>
      </c>
      <c r="K50" s="41"/>
      <c r="L50" s="41" t="s">
        <v>76</v>
      </c>
      <c r="M50" s="41" t="s">
        <v>15</v>
      </c>
      <c r="O50" s="8">
        <v>5</v>
      </c>
      <c r="P50" s="3" t="s">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FD3D-0335-40F3-9031-CC4B1F0D8491}">
  <dimension ref="A3:D233"/>
  <sheetViews>
    <sheetView showGridLines="0" topLeftCell="A53" zoomScale="70" zoomScaleNormal="70" workbookViewId="0">
      <selection activeCell="A3" sqref="A3:D80"/>
    </sheetView>
  </sheetViews>
  <sheetFormatPr baseColWidth="10" defaultColWidth="10.6875" defaultRowHeight="30.4" customHeight="1"/>
  <cols>
    <col min="1" max="1" width="105.5" style="24" customWidth="1"/>
    <col min="2" max="2" width="26.5" style="25" customWidth="1"/>
    <col min="3" max="4" width="10.6875" style="25"/>
    <col min="5" max="16384" width="10.6875" style="4"/>
  </cols>
  <sheetData>
    <row r="3" spans="1:4" ht="30.4" customHeight="1">
      <c r="A3" s="18" t="s">
        <v>62</v>
      </c>
      <c r="B3" s="19" t="s">
        <v>1</v>
      </c>
      <c r="C3" s="19" t="s">
        <v>2</v>
      </c>
      <c r="D3" s="20" t="s">
        <v>211</v>
      </c>
    </row>
    <row r="4" spans="1:4" ht="30.4" customHeight="1">
      <c r="A4" s="26" t="s">
        <v>4</v>
      </c>
      <c r="B4" s="27"/>
      <c r="C4" s="27"/>
      <c r="D4" s="28"/>
    </row>
    <row r="5" spans="1:4" ht="30.4" customHeight="1">
      <c r="A5" s="29" t="s">
        <v>90</v>
      </c>
      <c r="B5" s="30"/>
      <c r="C5" s="30"/>
      <c r="D5" s="31"/>
    </row>
    <row r="6" spans="1:4" ht="30.4" customHeight="1">
      <c r="A6" s="14" t="s">
        <v>159</v>
      </c>
      <c r="B6" s="11" t="s">
        <v>5</v>
      </c>
      <c r="C6" s="11" t="s">
        <v>6</v>
      </c>
      <c r="D6" s="15" t="s">
        <v>7</v>
      </c>
    </row>
    <row r="7" spans="1:4" ht="30.4" customHeight="1">
      <c r="A7" s="14" t="s">
        <v>160</v>
      </c>
      <c r="B7" s="11" t="s">
        <v>8</v>
      </c>
      <c r="C7" s="11" t="s">
        <v>9</v>
      </c>
      <c r="D7" s="15" t="s">
        <v>7</v>
      </c>
    </row>
    <row r="8" spans="1:4" ht="30.4" customHeight="1">
      <c r="A8" s="29" t="s">
        <v>91</v>
      </c>
      <c r="B8" s="30"/>
      <c r="C8" s="30"/>
      <c r="D8" s="31"/>
    </row>
    <row r="9" spans="1:4" ht="30.4" customHeight="1">
      <c r="A9" s="14" t="s">
        <v>161</v>
      </c>
      <c r="B9" s="11" t="s">
        <v>10</v>
      </c>
      <c r="C9" s="11" t="s">
        <v>11</v>
      </c>
      <c r="D9" s="15" t="s">
        <v>7</v>
      </c>
    </row>
    <row r="10" spans="1:4" ht="30.4" customHeight="1">
      <c r="A10" s="14" t="s">
        <v>162</v>
      </c>
      <c r="B10" s="11" t="s">
        <v>12</v>
      </c>
      <c r="C10" s="11" t="s">
        <v>6</v>
      </c>
      <c r="D10" s="15" t="s">
        <v>7</v>
      </c>
    </row>
    <row r="11" spans="1:4" ht="30.4" customHeight="1">
      <c r="A11" s="14" t="s">
        <v>163</v>
      </c>
      <c r="B11" s="11" t="s">
        <v>13</v>
      </c>
      <c r="C11" s="11" t="s">
        <v>14</v>
      </c>
      <c r="D11" s="15">
        <v>2029</v>
      </c>
    </row>
    <row r="12" spans="1:4" ht="30.4" customHeight="1">
      <c r="A12" s="29" t="s">
        <v>92</v>
      </c>
      <c r="B12" s="30"/>
      <c r="C12" s="30"/>
      <c r="D12" s="31"/>
    </row>
    <row r="13" spans="1:4" ht="30.4" customHeight="1">
      <c r="A13" s="14" t="s">
        <v>164</v>
      </c>
      <c r="B13" s="11" t="s">
        <v>16</v>
      </c>
      <c r="C13" s="11" t="s">
        <v>11</v>
      </c>
      <c r="D13" s="15" t="s">
        <v>7</v>
      </c>
    </row>
    <row r="14" spans="1:4" ht="30.4" customHeight="1">
      <c r="A14" s="14" t="s">
        <v>165</v>
      </c>
      <c r="B14" s="11" t="s">
        <v>17</v>
      </c>
      <c r="C14" s="11" t="s">
        <v>108</v>
      </c>
      <c r="D14" s="15" t="s">
        <v>7</v>
      </c>
    </row>
    <row r="15" spans="1:4" ht="30.4" customHeight="1">
      <c r="A15" s="32" t="s">
        <v>18</v>
      </c>
      <c r="B15" s="33"/>
      <c r="C15" s="33"/>
      <c r="D15" s="34"/>
    </row>
    <row r="16" spans="1:4" ht="30.4" customHeight="1">
      <c r="A16" s="29" t="s">
        <v>109</v>
      </c>
      <c r="B16" s="30"/>
      <c r="C16" s="30"/>
      <c r="D16" s="31"/>
    </row>
    <row r="17" spans="1:4" ht="30.4" customHeight="1">
      <c r="A17" s="14" t="s">
        <v>166</v>
      </c>
      <c r="B17" s="11" t="s">
        <v>19</v>
      </c>
      <c r="C17" s="11" t="s">
        <v>6</v>
      </c>
      <c r="D17" s="15" t="s">
        <v>7</v>
      </c>
    </row>
    <row r="18" spans="1:4" ht="30.4" customHeight="1">
      <c r="A18" s="14" t="s">
        <v>167</v>
      </c>
      <c r="B18" s="11" t="s">
        <v>20</v>
      </c>
      <c r="C18" s="11" t="s">
        <v>21</v>
      </c>
      <c r="D18" s="15" t="s">
        <v>7</v>
      </c>
    </row>
    <row r="19" spans="1:4" ht="30.4" customHeight="1">
      <c r="A19" s="14" t="s">
        <v>168</v>
      </c>
      <c r="B19" s="11" t="s">
        <v>22</v>
      </c>
      <c r="C19" s="11" t="s">
        <v>6</v>
      </c>
      <c r="D19" s="15" t="s">
        <v>7</v>
      </c>
    </row>
    <row r="20" spans="1:4" ht="30.4" customHeight="1">
      <c r="A20" s="29" t="s">
        <v>113</v>
      </c>
      <c r="B20" s="30"/>
      <c r="C20" s="30"/>
      <c r="D20" s="31"/>
    </row>
    <row r="21" spans="1:4" ht="30.4" customHeight="1">
      <c r="A21" s="14" t="s">
        <v>169</v>
      </c>
      <c r="B21" s="11" t="s">
        <v>25</v>
      </c>
      <c r="C21" s="11" t="s">
        <v>26</v>
      </c>
      <c r="D21" s="15" t="s">
        <v>7</v>
      </c>
    </row>
    <row r="22" spans="1:4" ht="30.4" customHeight="1">
      <c r="A22" s="14" t="s">
        <v>170</v>
      </c>
      <c r="B22" s="11" t="s">
        <v>116</v>
      </c>
      <c r="C22" s="11" t="s">
        <v>6</v>
      </c>
      <c r="D22" s="15" t="s">
        <v>7</v>
      </c>
    </row>
    <row r="23" spans="1:4" ht="30.4" customHeight="1">
      <c r="A23" s="29" t="s">
        <v>117</v>
      </c>
      <c r="B23" s="30"/>
      <c r="C23" s="30"/>
      <c r="D23" s="31"/>
    </row>
    <row r="24" spans="1:4" ht="30.4" customHeight="1">
      <c r="A24" s="14" t="s">
        <v>171</v>
      </c>
      <c r="B24" s="11" t="s">
        <v>23</v>
      </c>
      <c r="C24" s="11" t="s">
        <v>21</v>
      </c>
      <c r="D24" s="15" t="s">
        <v>7</v>
      </c>
    </row>
    <row r="25" spans="1:4" ht="30.4" customHeight="1">
      <c r="A25" s="14" t="s">
        <v>172</v>
      </c>
      <c r="B25" s="11" t="s">
        <v>24</v>
      </c>
      <c r="C25" s="11" t="s">
        <v>6</v>
      </c>
      <c r="D25" s="15" t="s">
        <v>7</v>
      </c>
    </row>
    <row r="26" spans="1:4" ht="30.4" customHeight="1">
      <c r="A26" s="32" t="s">
        <v>27</v>
      </c>
      <c r="B26" s="33"/>
      <c r="C26" s="33"/>
      <c r="D26" s="34"/>
    </row>
    <row r="27" spans="1:4" ht="30.4" customHeight="1">
      <c r="A27" s="29" t="s">
        <v>93</v>
      </c>
      <c r="B27" s="30"/>
      <c r="C27" s="30"/>
      <c r="D27" s="31"/>
    </row>
    <row r="28" spans="1:4" ht="30.4" customHeight="1">
      <c r="A28" s="14" t="s">
        <v>173</v>
      </c>
      <c r="B28" s="11" t="s">
        <v>28</v>
      </c>
      <c r="C28" s="11" t="s">
        <v>6</v>
      </c>
      <c r="D28" s="15" t="s">
        <v>7</v>
      </c>
    </row>
    <row r="29" spans="1:4" ht="30.4" customHeight="1">
      <c r="A29" s="29" t="s">
        <v>121</v>
      </c>
      <c r="B29" s="30"/>
      <c r="C29" s="30"/>
      <c r="D29" s="31"/>
    </row>
    <row r="30" spans="1:4" ht="30.4" customHeight="1">
      <c r="A30" s="13" t="s">
        <v>174</v>
      </c>
      <c r="B30" s="21"/>
      <c r="C30" s="21"/>
      <c r="D30" s="22"/>
    </row>
    <row r="31" spans="1:4" ht="30.4" customHeight="1">
      <c r="A31" s="13" t="s">
        <v>175</v>
      </c>
      <c r="B31" s="21" t="s">
        <v>30</v>
      </c>
      <c r="C31" s="21" t="s">
        <v>6</v>
      </c>
      <c r="D31" s="22" t="s">
        <v>7</v>
      </c>
    </row>
    <row r="32" spans="1:4" ht="30.4" customHeight="1">
      <c r="A32" s="29" t="s">
        <v>94</v>
      </c>
      <c r="B32" s="30"/>
      <c r="C32" s="30"/>
      <c r="D32" s="31"/>
    </row>
    <row r="33" spans="1:4" ht="30.4" customHeight="1">
      <c r="A33" s="14" t="s">
        <v>176</v>
      </c>
      <c r="B33" s="11" t="s">
        <v>32</v>
      </c>
      <c r="C33" s="11" t="s">
        <v>6</v>
      </c>
      <c r="D33" s="15" t="s">
        <v>7</v>
      </c>
    </row>
    <row r="34" spans="1:4" ht="30.4" customHeight="1">
      <c r="A34" s="14" t="s">
        <v>177</v>
      </c>
      <c r="B34" s="11" t="s">
        <v>33</v>
      </c>
      <c r="C34" s="11" t="s">
        <v>6</v>
      </c>
      <c r="D34" s="15" t="s">
        <v>7</v>
      </c>
    </row>
    <row r="35" spans="1:4" ht="30.4" customHeight="1">
      <c r="A35" s="14" t="s">
        <v>254</v>
      </c>
      <c r="B35" s="11" t="s">
        <v>31</v>
      </c>
      <c r="C35" s="11" t="s">
        <v>6</v>
      </c>
      <c r="D35" s="15" t="s">
        <v>7</v>
      </c>
    </row>
    <row r="36" spans="1:4" ht="30.4" customHeight="1">
      <c r="A36" s="32" t="s">
        <v>41</v>
      </c>
      <c r="B36" s="33"/>
      <c r="C36" s="33"/>
      <c r="D36" s="34"/>
    </row>
    <row r="37" spans="1:4" ht="30.4" customHeight="1">
      <c r="A37" s="29" t="s">
        <v>126</v>
      </c>
      <c r="B37" s="30"/>
      <c r="C37" s="30"/>
      <c r="D37" s="31"/>
    </row>
    <row r="38" spans="1:4" ht="30.4" customHeight="1">
      <c r="A38" s="14" t="s">
        <v>178</v>
      </c>
      <c r="B38" s="11" t="s">
        <v>34</v>
      </c>
      <c r="C38" s="11" t="s">
        <v>35</v>
      </c>
      <c r="D38" s="15">
        <v>2027</v>
      </c>
    </row>
    <row r="39" spans="1:4" ht="30.4" customHeight="1">
      <c r="A39" s="14" t="s">
        <v>179</v>
      </c>
      <c r="B39" s="11" t="s">
        <v>36</v>
      </c>
      <c r="C39" s="11" t="s">
        <v>37</v>
      </c>
      <c r="D39" s="15">
        <v>2027</v>
      </c>
    </row>
    <row r="40" spans="1:4" ht="30.4" customHeight="1">
      <c r="A40" s="29" t="s">
        <v>129</v>
      </c>
      <c r="B40" s="30"/>
      <c r="C40" s="30"/>
      <c r="D40" s="31"/>
    </row>
    <row r="41" spans="1:4" ht="30.4" customHeight="1">
      <c r="A41" s="13" t="s">
        <v>180</v>
      </c>
      <c r="B41" s="21"/>
      <c r="C41" s="21"/>
      <c r="D41" s="22"/>
    </row>
    <row r="42" spans="1:4" ht="30.4" customHeight="1">
      <c r="A42" s="13" t="s">
        <v>181</v>
      </c>
      <c r="B42" s="21" t="s">
        <v>39</v>
      </c>
      <c r="C42" s="21" t="s">
        <v>35</v>
      </c>
      <c r="D42" s="22" t="s">
        <v>209</v>
      </c>
    </row>
    <row r="43" spans="1:4" ht="30.4" customHeight="1">
      <c r="A43" s="14" t="s">
        <v>182</v>
      </c>
      <c r="B43" s="11" t="s">
        <v>40</v>
      </c>
      <c r="C43" s="11" t="s">
        <v>37</v>
      </c>
      <c r="D43" s="15" t="s">
        <v>209</v>
      </c>
    </row>
    <row r="44" spans="1:4" ht="30.4" customHeight="1">
      <c r="A44" s="32" t="s">
        <v>42</v>
      </c>
      <c r="B44" s="33"/>
      <c r="C44" s="33"/>
      <c r="D44" s="34"/>
    </row>
    <row r="45" spans="1:4" ht="30.4" customHeight="1">
      <c r="A45" s="29" t="s">
        <v>133</v>
      </c>
      <c r="B45" s="30"/>
      <c r="C45" s="30"/>
      <c r="D45" s="31"/>
    </row>
    <row r="46" spans="1:4" ht="30.4" customHeight="1">
      <c r="A46" s="14" t="s">
        <v>183</v>
      </c>
      <c r="B46" s="11" t="s">
        <v>43</v>
      </c>
      <c r="C46" s="11" t="s">
        <v>44</v>
      </c>
      <c r="D46" s="15" t="s">
        <v>7</v>
      </c>
    </row>
    <row r="47" spans="1:4" ht="30.4" customHeight="1">
      <c r="A47" s="14" t="s">
        <v>184</v>
      </c>
      <c r="B47" s="11" t="s">
        <v>45</v>
      </c>
      <c r="C47" s="11" t="s">
        <v>136</v>
      </c>
      <c r="D47" s="15" t="s">
        <v>7</v>
      </c>
    </row>
    <row r="48" spans="1:4" ht="30.4" customHeight="1">
      <c r="A48" s="32" t="s">
        <v>56</v>
      </c>
      <c r="B48" s="33"/>
      <c r="C48" s="33"/>
      <c r="D48" s="34"/>
    </row>
    <row r="49" spans="1:4" ht="30.4" customHeight="1">
      <c r="A49" s="29" t="s">
        <v>137</v>
      </c>
      <c r="B49" s="30"/>
      <c r="C49" s="30"/>
      <c r="D49" s="31"/>
    </row>
    <row r="50" spans="1:4" ht="30.4" customHeight="1">
      <c r="A50" s="14" t="s">
        <v>185</v>
      </c>
      <c r="B50" s="11" t="s">
        <v>57</v>
      </c>
      <c r="C50" s="11" t="s">
        <v>139</v>
      </c>
      <c r="D50" s="15" t="s">
        <v>7</v>
      </c>
    </row>
    <row r="51" spans="1:4" ht="30.4" customHeight="1">
      <c r="A51" s="14" t="s">
        <v>186</v>
      </c>
      <c r="B51" s="11" t="s">
        <v>59</v>
      </c>
      <c r="C51" s="11" t="s">
        <v>84</v>
      </c>
      <c r="D51" s="15">
        <v>2027</v>
      </c>
    </row>
    <row r="52" spans="1:4" ht="30.4" customHeight="1">
      <c r="A52" s="14" t="s">
        <v>255</v>
      </c>
      <c r="B52" s="11" t="s">
        <v>58</v>
      </c>
      <c r="C52" s="11" t="s">
        <v>44</v>
      </c>
      <c r="D52" s="15">
        <v>2027</v>
      </c>
    </row>
    <row r="53" spans="1:4" ht="30.4" customHeight="1">
      <c r="A53" s="32" t="s">
        <v>46</v>
      </c>
      <c r="B53" s="33"/>
      <c r="C53" s="33"/>
      <c r="D53" s="34"/>
    </row>
    <row r="54" spans="1:4" ht="30.4" customHeight="1">
      <c r="A54" s="29" t="s">
        <v>95</v>
      </c>
      <c r="B54" s="30"/>
      <c r="C54" s="30"/>
      <c r="D54" s="31"/>
    </row>
    <row r="55" spans="1:4" ht="30.4" customHeight="1">
      <c r="A55" s="14" t="s">
        <v>187</v>
      </c>
      <c r="B55" s="11" t="s">
        <v>47</v>
      </c>
      <c r="C55" s="11" t="s">
        <v>26</v>
      </c>
      <c r="D55" s="15" t="s">
        <v>7</v>
      </c>
    </row>
    <row r="56" spans="1:4" ht="30.4" customHeight="1">
      <c r="A56" s="14" t="s">
        <v>188</v>
      </c>
      <c r="B56" s="11" t="s">
        <v>48</v>
      </c>
      <c r="C56" s="11" t="s">
        <v>49</v>
      </c>
      <c r="D56" s="15" t="s">
        <v>7</v>
      </c>
    </row>
    <row r="57" spans="1:4" ht="30.4" customHeight="1">
      <c r="A57" s="29" t="s">
        <v>96</v>
      </c>
      <c r="B57" s="30"/>
      <c r="C57" s="30"/>
      <c r="D57" s="31"/>
    </row>
    <row r="58" spans="1:4" ht="30.4" customHeight="1">
      <c r="A58" s="14" t="s">
        <v>189</v>
      </c>
      <c r="B58" s="11" t="s">
        <v>50</v>
      </c>
      <c r="C58" s="11" t="s">
        <v>84</v>
      </c>
      <c r="D58" s="15">
        <v>2026</v>
      </c>
    </row>
    <row r="59" spans="1:4" ht="30.4" customHeight="1">
      <c r="A59" s="14" t="s">
        <v>190</v>
      </c>
      <c r="B59" s="11" t="s">
        <v>51</v>
      </c>
      <c r="C59" s="11" t="s">
        <v>6</v>
      </c>
      <c r="D59" s="15" t="s">
        <v>7</v>
      </c>
    </row>
    <row r="60" spans="1:4" ht="30.4" customHeight="1">
      <c r="A60" s="29" t="s">
        <v>145</v>
      </c>
      <c r="B60" s="30"/>
      <c r="C60" s="30"/>
      <c r="D60" s="31"/>
    </row>
    <row r="61" spans="1:4" ht="30.4" customHeight="1">
      <c r="A61" s="14" t="s">
        <v>191</v>
      </c>
      <c r="B61" s="11" t="s">
        <v>52</v>
      </c>
      <c r="C61" s="11" t="s">
        <v>147</v>
      </c>
      <c r="D61" s="15">
        <v>2026</v>
      </c>
    </row>
    <row r="62" spans="1:4" ht="30.4" customHeight="1">
      <c r="A62" s="14" t="s">
        <v>192</v>
      </c>
      <c r="B62" s="11" t="s">
        <v>53</v>
      </c>
      <c r="C62" s="11" t="s">
        <v>6</v>
      </c>
      <c r="D62" s="15">
        <v>2027</v>
      </c>
    </row>
    <row r="63" spans="1:4" ht="30.4" customHeight="1">
      <c r="A63" s="14" t="s">
        <v>193</v>
      </c>
      <c r="B63" s="11" t="s">
        <v>54</v>
      </c>
      <c r="C63" s="11" t="s">
        <v>6</v>
      </c>
      <c r="D63" s="15">
        <v>2028</v>
      </c>
    </row>
    <row r="64" spans="1:4" ht="30.4" customHeight="1">
      <c r="A64" s="14" t="s">
        <v>194</v>
      </c>
      <c r="B64" s="11" t="s">
        <v>55</v>
      </c>
      <c r="C64" s="11" t="s">
        <v>6</v>
      </c>
      <c r="D64" s="15">
        <v>2028</v>
      </c>
    </row>
    <row r="65" spans="1:4" ht="30.4" customHeight="1">
      <c r="A65" s="14" t="s">
        <v>195</v>
      </c>
      <c r="B65" s="11" t="s">
        <v>61</v>
      </c>
      <c r="C65" s="11" t="s">
        <v>6</v>
      </c>
      <c r="D65" s="15">
        <v>2027</v>
      </c>
    </row>
    <row r="66" spans="1:4" ht="30.4" customHeight="1">
      <c r="A66" s="32" t="s">
        <v>60</v>
      </c>
      <c r="B66" s="33"/>
      <c r="C66" s="33"/>
      <c r="D66" s="34"/>
    </row>
    <row r="67" spans="1:4" ht="30.4" customHeight="1">
      <c r="A67" s="29" t="s">
        <v>97</v>
      </c>
      <c r="B67" s="30"/>
      <c r="C67" s="30"/>
      <c r="D67" s="31"/>
    </row>
    <row r="68" spans="1:4" ht="30.4" customHeight="1">
      <c r="A68" s="14" t="s">
        <v>196</v>
      </c>
      <c r="B68" s="11" t="s">
        <v>64</v>
      </c>
      <c r="C68" s="11" t="s">
        <v>65</v>
      </c>
      <c r="D68" s="15" t="s">
        <v>210</v>
      </c>
    </row>
    <row r="69" spans="1:4" ht="30.4" customHeight="1">
      <c r="A69" s="14" t="s">
        <v>197</v>
      </c>
      <c r="B69" s="11" t="s">
        <v>66</v>
      </c>
      <c r="C69" s="11" t="s">
        <v>67</v>
      </c>
      <c r="D69" s="15" t="s">
        <v>7</v>
      </c>
    </row>
    <row r="70" spans="1:4" ht="30.4" customHeight="1">
      <c r="A70" s="29" t="s">
        <v>98</v>
      </c>
      <c r="B70" s="30"/>
      <c r="C70" s="30"/>
      <c r="D70" s="31"/>
    </row>
    <row r="71" spans="1:4" ht="30.4" customHeight="1">
      <c r="A71" s="14" t="s">
        <v>198</v>
      </c>
      <c r="B71" s="11" t="s">
        <v>68</v>
      </c>
      <c r="C71" s="11" t="s">
        <v>84</v>
      </c>
      <c r="D71" s="15" t="s">
        <v>7</v>
      </c>
    </row>
    <row r="72" spans="1:4" ht="30.4" customHeight="1">
      <c r="A72" s="14" t="s">
        <v>199</v>
      </c>
      <c r="B72" s="11" t="s">
        <v>69</v>
      </c>
      <c r="C72" s="11" t="s">
        <v>6</v>
      </c>
      <c r="D72" s="15" t="s">
        <v>7</v>
      </c>
    </row>
    <row r="73" spans="1:4" ht="30.4" customHeight="1">
      <c r="A73" s="14" t="s">
        <v>200</v>
      </c>
      <c r="B73" s="11" t="s">
        <v>70</v>
      </c>
      <c r="C73" s="11" t="s">
        <v>157</v>
      </c>
      <c r="D73" s="15" t="s">
        <v>7</v>
      </c>
    </row>
    <row r="74" spans="1:4" ht="30.4" customHeight="1">
      <c r="A74" s="32" t="s">
        <v>71</v>
      </c>
      <c r="B74" s="33"/>
      <c r="C74" s="33"/>
      <c r="D74" s="34"/>
    </row>
    <row r="75" spans="1:4" ht="30.4" customHeight="1">
      <c r="A75" s="29" t="s">
        <v>99</v>
      </c>
      <c r="B75" s="30"/>
      <c r="C75" s="30"/>
      <c r="D75" s="31"/>
    </row>
    <row r="76" spans="1:4" ht="30.4" customHeight="1">
      <c r="A76" s="14" t="s">
        <v>201</v>
      </c>
      <c r="B76" s="11" t="s">
        <v>75</v>
      </c>
      <c r="C76" s="11" t="s">
        <v>73</v>
      </c>
      <c r="D76" s="15" t="s">
        <v>208</v>
      </c>
    </row>
    <row r="77" spans="1:4" ht="30.4" customHeight="1">
      <c r="A77" s="14" t="s">
        <v>256</v>
      </c>
      <c r="B77" s="11" t="s">
        <v>72</v>
      </c>
      <c r="C77" s="11" t="s">
        <v>73</v>
      </c>
      <c r="D77" s="15">
        <v>2026</v>
      </c>
    </row>
    <row r="78" spans="1:4" ht="30.4" customHeight="1">
      <c r="A78" s="14" t="s">
        <v>257</v>
      </c>
      <c r="B78" s="11" t="s">
        <v>74</v>
      </c>
      <c r="C78" s="11" t="s">
        <v>73</v>
      </c>
      <c r="D78" s="15" t="s">
        <v>207</v>
      </c>
    </row>
    <row r="79" spans="1:4" ht="30.4" customHeight="1">
      <c r="A79" s="14" t="s">
        <v>258</v>
      </c>
      <c r="B79" s="11" t="s">
        <v>206</v>
      </c>
      <c r="C79" s="11" t="s">
        <v>73</v>
      </c>
      <c r="D79" s="15">
        <v>2026</v>
      </c>
    </row>
    <row r="80" spans="1:4" ht="30.4" customHeight="1">
      <c r="A80" s="16" t="s">
        <v>259</v>
      </c>
      <c r="B80" s="12" t="s">
        <v>76</v>
      </c>
      <c r="C80" s="12" t="s">
        <v>77</v>
      </c>
      <c r="D80" s="17" t="s">
        <v>209</v>
      </c>
    </row>
    <row r="81" spans="1:4" ht="30.4" customHeight="1">
      <c r="A81"/>
      <c r="B81"/>
      <c r="C81"/>
      <c r="D81"/>
    </row>
    <row r="82" spans="1:4" ht="30.4" customHeight="1">
      <c r="A82"/>
      <c r="B82"/>
      <c r="C82"/>
      <c r="D82"/>
    </row>
    <row r="83" spans="1:4" ht="30.4" customHeight="1">
      <c r="A83" s="23"/>
      <c r="B83" s="23"/>
      <c r="C83" s="23"/>
      <c r="D83" s="23"/>
    </row>
    <row r="84" spans="1:4" ht="30.4" customHeight="1">
      <c r="A84" s="23"/>
      <c r="B84" s="23"/>
      <c r="C84" s="23"/>
      <c r="D84" s="23"/>
    </row>
    <row r="85" spans="1:4" ht="30.4" customHeight="1">
      <c r="A85" s="23"/>
      <c r="B85" s="23"/>
      <c r="C85" s="23"/>
      <c r="D85" s="23"/>
    </row>
    <row r="86" spans="1:4" ht="30.4" customHeight="1">
      <c r="A86" s="23"/>
      <c r="B86" s="23"/>
      <c r="C86" s="23"/>
      <c r="D86" s="23"/>
    </row>
    <row r="87" spans="1:4" ht="30.4" customHeight="1">
      <c r="A87" s="23"/>
      <c r="B87" s="23"/>
      <c r="C87" s="23"/>
      <c r="D87" s="23"/>
    </row>
    <row r="88" spans="1:4" ht="30.4" customHeight="1">
      <c r="A88" s="23"/>
      <c r="B88" s="23"/>
      <c r="C88" s="23"/>
      <c r="D88" s="23"/>
    </row>
    <row r="89" spans="1:4" ht="30.4" customHeight="1">
      <c r="A89" s="23"/>
      <c r="B89" s="23"/>
      <c r="C89" s="23"/>
      <c r="D89" s="23"/>
    </row>
    <row r="90" spans="1:4" ht="30.4" customHeight="1">
      <c r="A90" s="23"/>
      <c r="B90" s="23"/>
      <c r="C90" s="23"/>
      <c r="D90" s="23"/>
    </row>
    <row r="91" spans="1:4" ht="30.4" customHeight="1">
      <c r="A91" s="23"/>
      <c r="B91" s="23"/>
      <c r="C91" s="23"/>
      <c r="D91" s="23"/>
    </row>
    <row r="92" spans="1:4" ht="30.4" customHeight="1">
      <c r="A92" s="23"/>
      <c r="B92" s="23"/>
      <c r="C92" s="23"/>
      <c r="D92" s="23"/>
    </row>
    <row r="93" spans="1:4" ht="30.4" customHeight="1">
      <c r="A93" s="23"/>
      <c r="B93" s="23"/>
      <c r="C93" s="23"/>
      <c r="D93" s="23"/>
    </row>
    <row r="94" spans="1:4" ht="30.4" customHeight="1">
      <c r="A94" s="23"/>
      <c r="B94" s="23"/>
      <c r="C94" s="23"/>
      <c r="D94" s="23"/>
    </row>
    <row r="95" spans="1:4" ht="30.4" customHeight="1">
      <c r="A95" s="23"/>
      <c r="B95" s="23"/>
      <c r="C95" s="23"/>
      <c r="D95" s="23"/>
    </row>
    <row r="96" spans="1:4" ht="30.4" customHeight="1">
      <c r="A96" s="23"/>
      <c r="B96" s="23"/>
      <c r="C96" s="23"/>
      <c r="D96" s="23"/>
    </row>
    <row r="97" spans="1:4" ht="30.4" customHeight="1">
      <c r="A97" s="23"/>
      <c r="B97" s="23"/>
      <c r="C97" s="23"/>
      <c r="D97" s="23"/>
    </row>
    <row r="98" spans="1:4" ht="30.4" customHeight="1">
      <c r="A98" s="23"/>
      <c r="B98" s="23"/>
      <c r="C98" s="23"/>
      <c r="D98" s="23"/>
    </row>
    <row r="99" spans="1:4" ht="30.4" customHeight="1">
      <c r="A99" s="23"/>
      <c r="B99" s="23"/>
      <c r="C99" s="23"/>
      <c r="D99" s="23"/>
    </row>
    <row r="100" spans="1:4" ht="30.4" customHeight="1">
      <c r="A100" s="23"/>
      <c r="B100" s="23"/>
      <c r="C100" s="23"/>
      <c r="D100" s="23"/>
    </row>
    <row r="101" spans="1:4" ht="30.4" customHeight="1">
      <c r="A101" s="23"/>
      <c r="B101" s="23"/>
      <c r="C101" s="23"/>
      <c r="D101" s="23"/>
    </row>
    <row r="102" spans="1:4" ht="30.4" customHeight="1">
      <c r="A102" s="23"/>
      <c r="B102" s="23"/>
      <c r="C102" s="23"/>
      <c r="D102" s="23"/>
    </row>
    <row r="103" spans="1:4" ht="30.4" customHeight="1">
      <c r="A103" s="23"/>
      <c r="B103" s="23"/>
      <c r="C103" s="23"/>
      <c r="D103" s="23"/>
    </row>
    <row r="104" spans="1:4" ht="30.4" customHeight="1">
      <c r="A104" s="23"/>
      <c r="B104" s="23"/>
      <c r="C104" s="23"/>
      <c r="D104" s="23"/>
    </row>
    <row r="105" spans="1:4" ht="30.4" customHeight="1">
      <c r="A105" s="23"/>
      <c r="B105" s="23"/>
      <c r="C105" s="23"/>
      <c r="D105" s="23"/>
    </row>
    <row r="106" spans="1:4" ht="30.4" customHeight="1">
      <c r="A106" s="23"/>
      <c r="B106" s="23"/>
      <c r="C106" s="23"/>
      <c r="D106" s="23"/>
    </row>
    <row r="107" spans="1:4" ht="30.4" customHeight="1">
      <c r="A107" s="23"/>
      <c r="B107" s="23"/>
      <c r="C107" s="23"/>
      <c r="D107" s="23"/>
    </row>
    <row r="108" spans="1:4" ht="30.4" customHeight="1">
      <c r="A108" s="23"/>
      <c r="B108" s="23"/>
      <c r="C108" s="23"/>
      <c r="D108" s="23"/>
    </row>
    <row r="109" spans="1:4" ht="30.4" customHeight="1">
      <c r="A109" s="23"/>
      <c r="B109" s="23"/>
      <c r="C109" s="23"/>
      <c r="D109" s="23"/>
    </row>
    <row r="110" spans="1:4" ht="30.4" customHeight="1">
      <c r="A110" s="23"/>
      <c r="B110" s="23"/>
      <c r="C110" s="23"/>
      <c r="D110" s="23"/>
    </row>
    <row r="111" spans="1:4" ht="30.4" customHeight="1">
      <c r="A111" s="23"/>
      <c r="B111" s="23"/>
      <c r="C111" s="23"/>
      <c r="D111" s="23"/>
    </row>
    <row r="112" spans="1:4" ht="30.4" customHeight="1">
      <c r="A112" s="23"/>
      <c r="B112" s="23"/>
      <c r="C112" s="23"/>
      <c r="D112" s="23"/>
    </row>
    <row r="113" spans="1:4" ht="30.4" customHeight="1">
      <c r="A113" s="23"/>
      <c r="B113" s="23"/>
      <c r="C113" s="23"/>
      <c r="D113" s="23"/>
    </row>
    <row r="114" spans="1:4" ht="30.4" customHeight="1">
      <c r="A114" s="23"/>
      <c r="B114" s="23"/>
      <c r="C114" s="23"/>
      <c r="D114" s="23"/>
    </row>
    <row r="115" spans="1:4" ht="30.4" customHeight="1">
      <c r="A115" s="23"/>
      <c r="B115" s="23"/>
      <c r="C115" s="23"/>
      <c r="D115" s="23"/>
    </row>
    <row r="116" spans="1:4" ht="30.4" customHeight="1">
      <c r="A116" s="23"/>
      <c r="B116" s="23"/>
      <c r="C116" s="23"/>
      <c r="D116" s="23"/>
    </row>
    <row r="117" spans="1:4" ht="30.4" customHeight="1">
      <c r="A117" s="23"/>
      <c r="B117" s="23"/>
      <c r="C117" s="23"/>
      <c r="D117" s="23"/>
    </row>
    <row r="118" spans="1:4" ht="30.4" customHeight="1">
      <c r="A118" s="23"/>
      <c r="B118" s="23"/>
      <c r="C118" s="23"/>
      <c r="D118" s="23"/>
    </row>
    <row r="119" spans="1:4" ht="30.4" customHeight="1">
      <c r="A119" s="23"/>
      <c r="B119" s="23"/>
      <c r="C119" s="23"/>
      <c r="D119" s="23"/>
    </row>
    <row r="120" spans="1:4" ht="30.4" customHeight="1">
      <c r="A120" s="23"/>
      <c r="B120" s="23"/>
      <c r="C120" s="23"/>
      <c r="D120" s="23"/>
    </row>
    <row r="121" spans="1:4" ht="30.4" customHeight="1">
      <c r="A121" s="23"/>
      <c r="B121" s="23"/>
      <c r="C121" s="23"/>
      <c r="D121" s="23"/>
    </row>
    <row r="122" spans="1:4" ht="30.4" customHeight="1">
      <c r="A122" s="23"/>
      <c r="B122" s="23"/>
      <c r="C122" s="23"/>
      <c r="D122" s="23"/>
    </row>
    <row r="123" spans="1:4" ht="30.4" customHeight="1">
      <c r="A123" s="23"/>
      <c r="B123" s="23"/>
      <c r="C123" s="23"/>
      <c r="D123" s="23"/>
    </row>
    <row r="124" spans="1:4" ht="30.4" customHeight="1">
      <c r="A124" s="23"/>
      <c r="B124" s="23"/>
      <c r="C124" s="23"/>
      <c r="D124" s="23"/>
    </row>
    <row r="125" spans="1:4" ht="30.4" customHeight="1">
      <c r="A125" s="23"/>
      <c r="B125" s="23"/>
      <c r="C125" s="23"/>
      <c r="D125" s="23"/>
    </row>
    <row r="126" spans="1:4" ht="30.4" customHeight="1">
      <c r="A126" s="23"/>
      <c r="B126" s="23"/>
      <c r="C126" s="23"/>
      <c r="D126" s="23"/>
    </row>
    <row r="127" spans="1:4" ht="30.4" customHeight="1">
      <c r="A127" s="23"/>
      <c r="B127" s="23"/>
      <c r="C127" s="23"/>
      <c r="D127" s="23"/>
    </row>
    <row r="128" spans="1:4" ht="30.4" customHeight="1">
      <c r="A128" s="23"/>
      <c r="B128" s="23"/>
      <c r="C128" s="23"/>
      <c r="D128" s="23"/>
    </row>
    <row r="129" spans="1:4" ht="30.4" customHeight="1">
      <c r="A129" s="23"/>
      <c r="B129" s="23"/>
      <c r="C129" s="23"/>
      <c r="D129" s="23"/>
    </row>
    <row r="130" spans="1:4" ht="30.4" customHeight="1">
      <c r="A130" s="23"/>
      <c r="B130" s="23"/>
      <c r="C130" s="23"/>
      <c r="D130" s="23"/>
    </row>
    <row r="131" spans="1:4" ht="30.4" customHeight="1">
      <c r="A131" s="23"/>
      <c r="B131" s="23"/>
      <c r="C131" s="23"/>
      <c r="D131" s="23"/>
    </row>
    <row r="132" spans="1:4" ht="30.4" customHeight="1">
      <c r="A132" s="23"/>
      <c r="B132" s="23"/>
      <c r="C132" s="23"/>
      <c r="D132" s="23"/>
    </row>
    <row r="133" spans="1:4" ht="30.4" customHeight="1">
      <c r="A133" s="23"/>
      <c r="B133" s="23"/>
      <c r="C133" s="23"/>
      <c r="D133" s="23"/>
    </row>
    <row r="134" spans="1:4" ht="30.4" customHeight="1">
      <c r="A134" s="23"/>
      <c r="B134" s="23"/>
      <c r="C134" s="23"/>
      <c r="D134" s="23"/>
    </row>
    <row r="135" spans="1:4" ht="30.4" customHeight="1">
      <c r="A135" s="23"/>
      <c r="B135" s="23"/>
      <c r="C135" s="23"/>
      <c r="D135" s="23"/>
    </row>
    <row r="136" spans="1:4" ht="30.4" customHeight="1">
      <c r="A136" s="23"/>
      <c r="B136" s="23"/>
      <c r="C136" s="23"/>
      <c r="D136" s="23"/>
    </row>
    <row r="137" spans="1:4" ht="30.4" customHeight="1">
      <c r="A137" s="23"/>
      <c r="B137" s="23"/>
      <c r="C137" s="23"/>
      <c r="D137" s="23"/>
    </row>
    <row r="138" spans="1:4" ht="30.4" customHeight="1">
      <c r="A138" s="23"/>
      <c r="B138" s="23"/>
      <c r="C138" s="23"/>
      <c r="D138" s="23"/>
    </row>
    <row r="139" spans="1:4" ht="30.4" customHeight="1">
      <c r="A139" s="23"/>
      <c r="B139" s="23"/>
      <c r="C139" s="23"/>
      <c r="D139" s="23"/>
    </row>
    <row r="140" spans="1:4" ht="30.4" customHeight="1">
      <c r="A140" s="23"/>
      <c r="B140" s="23"/>
      <c r="C140" s="23"/>
      <c r="D140" s="23"/>
    </row>
    <row r="141" spans="1:4" ht="30.4" customHeight="1">
      <c r="A141" s="23"/>
      <c r="B141" s="23"/>
      <c r="C141" s="23"/>
      <c r="D141" s="23"/>
    </row>
    <row r="142" spans="1:4" ht="30.4" customHeight="1">
      <c r="A142" s="23"/>
      <c r="B142" s="23"/>
      <c r="C142" s="23"/>
      <c r="D142" s="23"/>
    </row>
    <row r="143" spans="1:4" ht="30.4" customHeight="1">
      <c r="A143" s="23"/>
      <c r="B143" s="23"/>
      <c r="C143" s="23"/>
      <c r="D143" s="23"/>
    </row>
    <row r="144" spans="1:4" ht="30.4" customHeight="1">
      <c r="A144" s="23"/>
      <c r="B144" s="23"/>
      <c r="C144" s="23"/>
      <c r="D144" s="23"/>
    </row>
    <row r="145" spans="1:4" ht="30.4" customHeight="1">
      <c r="A145" s="23"/>
      <c r="B145" s="23"/>
      <c r="C145" s="23"/>
      <c r="D145" s="23"/>
    </row>
    <row r="146" spans="1:4" ht="30.4" customHeight="1">
      <c r="A146" s="23"/>
      <c r="B146" s="23"/>
      <c r="C146" s="23"/>
      <c r="D146" s="23"/>
    </row>
    <row r="147" spans="1:4" ht="30.4" customHeight="1">
      <c r="A147" s="23"/>
      <c r="B147" s="23"/>
      <c r="C147" s="23"/>
      <c r="D147" s="23"/>
    </row>
    <row r="148" spans="1:4" ht="30.4" customHeight="1">
      <c r="A148" s="23"/>
      <c r="B148" s="23"/>
      <c r="C148" s="23"/>
      <c r="D148" s="23"/>
    </row>
    <row r="149" spans="1:4" ht="30.4" customHeight="1">
      <c r="A149" s="23"/>
      <c r="B149" s="23"/>
      <c r="C149" s="23"/>
      <c r="D149" s="23"/>
    </row>
    <row r="150" spans="1:4" ht="30.4" customHeight="1">
      <c r="A150" s="23"/>
      <c r="B150" s="23"/>
      <c r="C150" s="23"/>
      <c r="D150" s="23"/>
    </row>
    <row r="151" spans="1:4" ht="30.4" customHeight="1">
      <c r="A151" s="23"/>
      <c r="B151" s="23"/>
      <c r="C151" s="23"/>
      <c r="D151" s="23"/>
    </row>
    <row r="152" spans="1:4" ht="30.4" customHeight="1">
      <c r="A152" s="23"/>
      <c r="B152" s="23"/>
      <c r="C152" s="23"/>
      <c r="D152" s="23"/>
    </row>
    <row r="153" spans="1:4" ht="30.4" customHeight="1">
      <c r="A153" s="23"/>
      <c r="B153" s="23"/>
      <c r="C153" s="23"/>
      <c r="D153" s="23"/>
    </row>
    <row r="154" spans="1:4" ht="30.4" customHeight="1">
      <c r="A154" s="23"/>
      <c r="B154" s="23"/>
      <c r="C154" s="23"/>
      <c r="D154" s="23"/>
    </row>
    <row r="155" spans="1:4" ht="30.4" customHeight="1">
      <c r="A155" s="23"/>
      <c r="B155" s="23"/>
      <c r="C155" s="23"/>
      <c r="D155" s="23"/>
    </row>
    <row r="156" spans="1:4" ht="30.4" customHeight="1">
      <c r="A156" s="23"/>
      <c r="B156" s="23"/>
      <c r="C156" s="23"/>
      <c r="D156" s="23"/>
    </row>
    <row r="157" spans="1:4" ht="30.4" customHeight="1">
      <c r="A157" s="23"/>
      <c r="B157" s="23"/>
      <c r="C157" s="23"/>
      <c r="D157" s="23"/>
    </row>
    <row r="158" spans="1:4" ht="30.4" customHeight="1">
      <c r="A158" s="23"/>
      <c r="B158" s="23"/>
      <c r="C158" s="23"/>
      <c r="D158" s="23"/>
    </row>
    <row r="159" spans="1:4" ht="30.4" customHeight="1">
      <c r="A159" s="23"/>
      <c r="B159" s="23"/>
      <c r="C159" s="23"/>
      <c r="D159" s="23"/>
    </row>
    <row r="160" spans="1:4" ht="30.4" customHeight="1">
      <c r="A160" s="23"/>
      <c r="B160" s="23"/>
      <c r="C160" s="23"/>
      <c r="D160" s="23"/>
    </row>
    <row r="161" spans="1:4" ht="30.4" customHeight="1">
      <c r="A161" s="23"/>
      <c r="B161" s="23"/>
      <c r="C161" s="23"/>
      <c r="D161" s="23"/>
    </row>
    <row r="162" spans="1:4" ht="30.4" customHeight="1">
      <c r="A162" s="23"/>
      <c r="B162" s="23"/>
      <c r="C162" s="23"/>
      <c r="D162" s="23"/>
    </row>
    <row r="163" spans="1:4" ht="30.4" customHeight="1">
      <c r="A163" s="23"/>
      <c r="B163" s="23"/>
      <c r="C163" s="23"/>
      <c r="D163" s="23"/>
    </row>
    <row r="164" spans="1:4" ht="30.4" customHeight="1">
      <c r="A164" s="23"/>
      <c r="B164" s="23"/>
      <c r="C164" s="23"/>
      <c r="D164" s="23"/>
    </row>
    <row r="165" spans="1:4" ht="30.4" customHeight="1">
      <c r="A165" s="23"/>
      <c r="B165" s="23"/>
      <c r="C165" s="23"/>
      <c r="D165" s="23"/>
    </row>
    <row r="166" spans="1:4" ht="30.4" customHeight="1">
      <c r="A166" s="23"/>
      <c r="B166" s="23"/>
      <c r="C166" s="23"/>
      <c r="D166" s="23"/>
    </row>
    <row r="167" spans="1:4" ht="30.4" customHeight="1">
      <c r="A167" s="23"/>
      <c r="B167" s="23"/>
      <c r="C167" s="23"/>
      <c r="D167" s="23"/>
    </row>
    <row r="168" spans="1:4" ht="30.4" customHeight="1">
      <c r="A168" s="23"/>
      <c r="B168" s="23"/>
      <c r="C168" s="23"/>
      <c r="D168" s="23"/>
    </row>
    <row r="169" spans="1:4" ht="30.4" customHeight="1">
      <c r="A169" s="23"/>
      <c r="B169" s="23"/>
      <c r="C169" s="23"/>
      <c r="D169" s="23"/>
    </row>
    <row r="170" spans="1:4" ht="30.4" customHeight="1">
      <c r="A170" s="23"/>
      <c r="B170" s="23"/>
      <c r="C170" s="23"/>
      <c r="D170" s="23"/>
    </row>
    <row r="171" spans="1:4" ht="30.4" customHeight="1">
      <c r="A171" s="23"/>
      <c r="B171" s="23"/>
      <c r="C171" s="23"/>
      <c r="D171" s="23"/>
    </row>
    <row r="172" spans="1:4" ht="30.4" customHeight="1">
      <c r="A172" s="23"/>
      <c r="B172" s="23"/>
      <c r="C172" s="23"/>
      <c r="D172" s="23"/>
    </row>
    <row r="173" spans="1:4" ht="30.4" customHeight="1">
      <c r="A173" s="23"/>
      <c r="B173" s="23"/>
      <c r="C173" s="23"/>
      <c r="D173" s="23"/>
    </row>
    <row r="174" spans="1:4" ht="30.4" customHeight="1">
      <c r="A174" s="23"/>
      <c r="B174" s="23"/>
      <c r="C174" s="23"/>
      <c r="D174" s="23"/>
    </row>
    <row r="175" spans="1:4" ht="30.4" customHeight="1">
      <c r="A175" s="23"/>
      <c r="B175" s="23"/>
      <c r="C175" s="23"/>
      <c r="D175" s="23"/>
    </row>
    <row r="176" spans="1:4" ht="30.4" customHeight="1">
      <c r="A176" s="23"/>
      <c r="B176" s="23"/>
      <c r="C176" s="23"/>
      <c r="D176" s="23"/>
    </row>
    <row r="177" spans="1:4" ht="30.4" customHeight="1">
      <c r="A177" s="23"/>
      <c r="B177" s="23"/>
      <c r="C177" s="23"/>
      <c r="D177" s="23"/>
    </row>
    <row r="178" spans="1:4" ht="30.4" customHeight="1">
      <c r="A178" s="23"/>
      <c r="B178" s="23"/>
      <c r="C178" s="23"/>
      <c r="D178" s="23"/>
    </row>
    <row r="179" spans="1:4" ht="30.4" customHeight="1">
      <c r="A179" s="23"/>
      <c r="B179" s="23"/>
      <c r="C179" s="23"/>
      <c r="D179" s="23"/>
    </row>
    <row r="180" spans="1:4" ht="30.4" customHeight="1">
      <c r="A180" s="23"/>
      <c r="B180" s="23"/>
      <c r="C180" s="23"/>
      <c r="D180" s="23"/>
    </row>
    <row r="181" spans="1:4" ht="30.4" customHeight="1">
      <c r="A181" s="23"/>
      <c r="B181" s="23"/>
      <c r="C181" s="23"/>
      <c r="D181" s="23"/>
    </row>
    <row r="182" spans="1:4" ht="30.4" customHeight="1">
      <c r="A182" s="23"/>
      <c r="B182" s="23"/>
      <c r="C182" s="23"/>
      <c r="D182" s="23"/>
    </row>
    <row r="183" spans="1:4" ht="30.4" customHeight="1">
      <c r="A183" s="23"/>
      <c r="B183" s="23"/>
      <c r="C183" s="23"/>
      <c r="D183" s="23"/>
    </row>
    <row r="184" spans="1:4" ht="30.4" customHeight="1">
      <c r="A184" s="23"/>
      <c r="B184" s="23"/>
      <c r="C184" s="23"/>
      <c r="D184" s="23"/>
    </row>
    <row r="185" spans="1:4" ht="30.4" customHeight="1">
      <c r="A185" s="23"/>
      <c r="B185" s="23"/>
      <c r="C185" s="23"/>
      <c r="D185" s="23"/>
    </row>
    <row r="186" spans="1:4" ht="30.4" customHeight="1">
      <c r="A186" s="23"/>
      <c r="B186" s="23"/>
      <c r="C186" s="23"/>
      <c r="D186" s="23"/>
    </row>
    <row r="187" spans="1:4" ht="30.4" customHeight="1">
      <c r="A187" s="23"/>
      <c r="B187" s="23"/>
      <c r="C187" s="23"/>
      <c r="D187" s="23"/>
    </row>
    <row r="188" spans="1:4" ht="30.4" customHeight="1">
      <c r="A188" s="23"/>
      <c r="B188" s="23"/>
      <c r="C188" s="23"/>
      <c r="D188" s="23"/>
    </row>
    <row r="189" spans="1:4" ht="30.4" customHeight="1">
      <c r="A189" s="23"/>
      <c r="B189" s="23"/>
      <c r="C189" s="23"/>
      <c r="D189" s="23"/>
    </row>
    <row r="190" spans="1:4" ht="30.4" customHeight="1">
      <c r="A190" s="23"/>
      <c r="B190" s="23"/>
      <c r="C190" s="23"/>
      <c r="D190" s="23"/>
    </row>
    <row r="191" spans="1:4" ht="30.4" customHeight="1">
      <c r="A191" s="23"/>
      <c r="B191" s="23"/>
      <c r="C191" s="23"/>
      <c r="D191" s="23"/>
    </row>
    <row r="192" spans="1:4" ht="30.4" customHeight="1">
      <c r="A192" s="23"/>
      <c r="B192" s="23"/>
      <c r="C192" s="23"/>
      <c r="D192" s="23"/>
    </row>
    <row r="193" spans="1:4" ht="30.4" customHeight="1">
      <c r="A193" s="23"/>
      <c r="B193" s="23"/>
      <c r="C193" s="23"/>
      <c r="D193" s="23"/>
    </row>
    <row r="194" spans="1:4" ht="30.4" customHeight="1">
      <c r="A194" s="23"/>
      <c r="B194" s="23"/>
      <c r="C194" s="23"/>
      <c r="D194" s="23"/>
    </row>
    <row r="195" spans="1:4" ht="30.4" customHeight="1">
      <c r="A195" s="23"/>
      <c r="B195" s="23"/>
      <c r="C195" s="23"/>
      <c r="D195" s="23"/>
    </row>
    <row r="196" spans="1:4" ht="30.4" customHeight="1">
      <c r="A196" s="23"/>
      <c r="B196" s="23"/>
      <c r="C196" s="23"/>
      <c r="D196" s="23"/>
    </row>
    <row r="197" spans="1:4" ht="30.4" customHeight="1">
      <c r="A197" s="23"/>
      <c r="B197" s="23"/>
      <c r="C197" s="23"/>
      <c r="D197" s="23"/>
    </row>
    <row r="198" spans="1:4" ht="30.4" customHeight="1">
      <c r="A198" s="23"/>
      <c r="B198" s="23"/>
      <c r="C198" s="23"/>
      <c r="D198" s="23"/>
    </row>
    <row r="199" spans="1:4" ht="30.4" customHeight="1">
      <c r="A199" s="23"/>
      <c r="B199" s="23"/>
      <c r="C199" s="23"/>
      <c r="D199" s="23"/>
    </row>
    <row r="200" spans="1:4" ht="30.4" customHeight="1">
      <c r="A200" s="23"/>
      <c r="B200" s="23"/>
      <c r="C200" s="23"/>
      <c r="D200" s="23"/>
    </row>
    <row r="201" spans="1:4" ht="30.4" customHeight="1">
      <c r="A201" s="23"/>
      <c r="B201" s="23"/>
      <c r="C201" s="23"/>
      <c r="D201" s="23"/>
    </row>
    <row r="202" spans="1:4" ht="30.4" customHeight="1">
      <c r="A202" s="23"/>
      <c r="B202" s="23"/>
      <c r="C202" s="23"/>
      <c r="D202" s="23"/>
    </row>
    <row r="203" spans="1:4" ht="30.4" customHeight="1">
      <c r="A203" s="23"/>
      <c r="B203" s="23"/>
      <c r="C203" s="23"/>
      <c r="D203" s="23"/>
    </row>
    <row r="204" spans="1:4" ht="30.4" customHeight="1">
      <c r="A204" s="23"/>
      <c r="B204" s="23"/>
      <c r="C204" s="23"/>
      <c r="D204" s="23"/>
    </row>
    <row r="205" spans="1:4" ht="30.4" customHeight="1">
      <c r="A205" s="23"/>
      <c r="B205" s="23"/>
      <c r="C205" s="23"/>
      <c r="D205" s="23"/>
    </row>
    <row r="206" spans="1:4" ht="30.4" customHeight="1">
      <c r="A206" s="23"/>
      <c r="B206" s="23"/>
      <c r="C206" s="23"/>
      <c r="D206" s="23"/>
    </row>
    <row r="207" spans="1:4" ht="30.4" customHeight="1">
      <c r="A207" s="23"/>
      <c r="B207" s="23"/>
      <c r="C207" s="23"/>
      <c r="D207" s="23"/>
    </row>
    <row r="208" spans="1:4" ht="30.4" customHeight="1">
      <c r="A208" s="23"/>
      <c r="B208" s="23"/>
      <c r="C208" s="23"/>
      <c r="D208" s="23"/>
    </row>
    <row r="209" spans="1:4" ht="30.4" customHeight="1">
      <c r="A209" s="23"/>
      <c r="B209" s="23"/>
      <c r="C209" s="23"/>
      <c r="D209" s="23"/>
    </row>
    <row r="210" spans="1:4" ht="30.4" customHeight="1">
      <c r="A210" s="23"/>
      <c r="B210" s="23"/>
      <c r="C210" s="23"/>
      <c r="D210" s="23"/>
    </row>
    <row r="211" spans="1:4" ht="30.4" customHeight="1">
      <c r="A211" s="23"/>
      <c r="B211" s="23"/>
      <c r="C211" s="23"/>
      <c r="D211" s="23"/>
    </row>
    <row r="212" spans="1:4" ht="30.4" customHeight="1">
      <c r="A212" s="23"/>
      <c r="B212" s="23"/>
      <c r="C212" s="23"/>
      <c r="D212" s="23"/>
    </row>
    <row r="213" spans="1:4" ht="30.4" customHeight="1">
      <c r="A213" s="23"/>
      <c r="B213" s="23"/>
      <c r="C213" s="23"/>
      <c r="D213" s="23"/>
    </row>
    <row r="214" spans="1:4" ht="30.4" customHeight="1">
      <c r="A214" s="23"/>
      <c r="B214" s="23"/>
      <c r="C214" s="23"/>
      <c r="D214" s="23"/>
    </row>
    <row r="215" spans="1:4" ht="30.4" customHeight="1">
      <c r="A215" s="23"/>
      <c r="B215" s="23"/>
      <c r="C215" s="23"/>
      <c r="D215" s="23"/>
    </row>
    <row r="216" spans="1:4" ht="30.4" customHeight="1">
      <c r="A216" s="23"/>
      <c r="B216" s="23"/>
      <c r="C216" s="23"/>
      <c r="D216" s="23"/>
    </row>
    <row r="217" spans="1:4" ht="30.4" customHeight="1">
      <c r="A217" s="23"/>
      <c r="B217" s="23"/>
      <c r="C217" s="23"/>
      <c r="D217" s="23"/>
    </row>
    <row r="218" spans="1:4" ht="30.4" customHeight="1">
      <c r="A218" s="23"/>
      <c r="B218" s="23"/>
      <c r="C218" s="23"/>
      <c r="D218" s="23"/>
    </row>
    <row r="219" spans="1:4" ht="30.4" customHeight="1">
      <c r="A219" s="23"/>
      <c r="B219" s="23"/>
      <c r="C219" s="23"/>
      <c r="D219" s="23"/>
    </row>
    <row r="220" spans="1:4" ht="30.4" customHeight="1">
      <c r="A220" s="23"/>
      <c r="B220" s="23"/>
      <c r="C220" s="23"/>
      <c r="D220" s="23"/>
    </row>
    <row r="221" spans="1:4" ht="30.4" customHeight="1">
      <c r="A221" s="23"/>
      <c r="B221" s="23"/>
      <c r="C221" s="23"/>
      <c r="D221" s="23"/>
    </row>
    <row r="222" spans="1:4" ht="30.4" customHeight="1">
      <c r="A222" s="23"/>
      <c r="B222" s="23"/>
      <c r="C222" s="23"/>
      <c r="D222" s="23"/>
    </row>
    <row r="223" spans="1:4" ht="30.4" customHeight="1">
      <c r="A223" s="23"/>
      <c r="B223" s="23"/>
      <c r="C223" s="23"/>
      <c r="D223" s="23"/>
    </row>
    <row r="224" spans="1:4" ht="30.4" customHeight="1">
      <c r="A224" s="23"/>
      <c r="B224" s="23"/>
      <c r="C224" s="23"/>
      <c r="D224" s="23"/>
    </row>
    <row r="225" spans="1:4" ht="30.4" customHeight="1">
      <c r="A225" s="23"/>
      <c r="B225" s="23"/>
      <c r="C225" s="23"/>
      <c r="D225" s="23"/>
    </row>
    <row r="226" spans="1:4" ht="30.4" customHeight="1">
      <c r="A226" s="23"/>
      <c r="B226" s="23"/>
      <c r="C226" s="23"/>
      <c r="D226" s="23"/>
    </row>
    <row r="227" spans="1:4" ht="30.4" customHeight="1">
      <c r="A227" s="23"/>
      <c r="B227" s="23"/>
      <c r="C227" s="23"/>
      <c r="D227" s="23"/>
    </row>
    <row r="228" spans="1:4" ht="30.4" customHeight="1">
      <c r="A228" s="23"/>
      <c r="B228" s="23"/>
      <c r="C228" s="23"/>
      <c r="D228" s="23"/>
    </row>
    <row r="229" spans="1:4" ht="30.4" customHeight="1">
      <c r="A229" s="23"/>
      <c r="B229" s="23"/>
      <c r="C229" s="23"/>
      <c r="D229" s="23"/>
    </row>
    <row r="230" spans="1:4" ht="30.4" customHeight="1">
      <c r="A230" s="23"/>
      <c r="B230" s="23"/>
      <c r="C230" s="23"/>
      <c r="D230" s="23"/>
    </row>
    <row r="231" spans="1:4" ht="30.4" customHeight="1">
      <c r="A231" s="23"/>
      <c r="B231" s="23"/>
      <c r="C231" s="23"/>
      <c r="D231" s="23"/>
    </row>
    <row r="232" spans="1:4" ht="30.4" customHeight="1">
      <c r="A232" s="23"/>
      <c r="B232" s="23"/>
      <c r="C232" s="23"/>
      <c r="D232" s="23"/>
    </row>
    <row r="233" spans="1:4" ht="30.4" customHeight="1">
      <c r="A233" s="23"/>
      <c r="B233" s="23"/>
      <c r="C233" s="23"/>
      <c r="D233"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EEDF-97AD-4B6E-A785-85A44C21BBDF}">
  <dimension ref="A1"/>
  <sheetViews>
    <sheetView showGridLines="0" zoomScale="55" zoomScaleNormal="55" workbookViewId="0">
      <selection activeCell="S13" sqref="S13"/>
    </sheetView>
  </sheetViews>
  <sheetFormatPr baseColWidth="10" defaultColWidth="10.6875" defaultRowHeight="13.9"/>
  <cols>
    <col min="1" max="16384" width="10.687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C01B-430C-4655-8B76-376E4BDF1BB7}">
  <dimension ref="G4:G19"/>
  <sheetViews>
    <sheetView workbookViewId="0">
      <selection activeCell="G20" sqref="G20"/>
    </sheetView>
  </sheetViews>
  <sheetFormatPr baseColWidth="10" defaultRowHeight="13.9"/>
  <sheetData>
    <row r="4" spans="7:7" ht="14.25" thickBot="1"/>
    <row r="5" spans="7:7" ht="14.25" thickBot="1">
      <c r="G5" s="47">
        <v>6</v>
      </c>
    </row>
    <row r="6" spans="7:7" ht="14.25" thickBot="1">
      <c r="G6" s="48">
        <v>8</v>
      </c>
    </row>
    <row r="7" spans="7:7" ht="14.25" thickBot="1">
      <c r="G7" s="48">
        <v>6</v>
      </c>
    </row>
    <row r="8" spans="7:7" ht="14.25" thickBot="1">
      <c r="G8" s="48">
        <v>6</v>
      </c>
    </row>
    <row r="9" spans="7:7" ht="14.25" thickBot="1">
      <c r="G9" s="48">
        <v>1</v>
      </c>
    </row>
    <row r="10" spans="7:7" ht="14.25" thickBot="1">
      <c r="G10" s="48">
        <v>3</v>
      </c>
    </row>
    <row r="11" spans="7:7" ht="14.25" thickBot="1">
      <c r="G11" s="48">
        <v>2</v>
      </c>
    </row>
    <row r="12" spans="7:7" ht="14.25" thickBot="1">
      <c r="G12" s="48">
        <v>2</v>
      </c>
    </row>
    <row r="13" spans="7:7" ht="14.25" thickBot="1">
      <c r="G13" s="48">
        <v>1</v>
      </c>
    </row>
    <row r="14" spans="7:7" ht="14.25" thickBot="1">
      <c r="G14" s="48">
        <v>1</v>
      </c>
    </row>
    <row r="15" spans="7:7" ht="14.25" thickBot="1">
      <c r="G15" s="48">
        <v>5</v>
      </c>
    </row>
    <row r="16" spans="7:7" ht="14.25" thickBot="1">
      <c r="G16" s="48">
        <v>3</v>
      </c>
    </row>
    <row r="17" spans="7:7" ht="14.25" thickBot="1">
      <c r="G17" s="48">
        <v>10</v>
      </c>
    </row>
    <row r="18" spans="7:7" ht="14.25" thickBot="1">
      <c r="G18" s="48">
        <v>4</v>
      </c>
    </row>
    <row r="19" spans="7:7">
      <c r="G19">
        <f>SUM(G5:G18)</f>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7CA2D-34F3-4073-99A1-DAC7B92303E2}">
  <dimension ref="A3:C67"/>
  <sheetViews>
    <sheetView showGridLines="0" topLeftCell="A25" zoomScale="40" zoomScaleNormal="40" workbookViewId="0">
      <selection activeCell="A57" sqref="A57:C67"/>
    </sheetView>
  </sheetViews>
  <sheetFormatPr baseColWidth="10" defaultRowHeight="13.9"/>
  <cols>
    <col min="1" max="1" width="60.1875" bestFit="1" customWidth="1"/>
    <col min="2" max="2" width="18.75" bestFit="1" customWidth="1"/>
    <col min="7" max="7" width="58.75" bestFit="1" customWidth="1"/>
    <col min="8" max="8" width="17.75" bestFit="1" customWidth="1"/>
  </cols>
  <sheetData>
    <row r="3" spans="1:2">
      <c r="A3" s="1" t="s">
        <v>62</v>
      </c>
      <c r="B3" t="s">
        <v>78</v>
      </c>
    </row>
    <row r="4" spans="1:2">
      <c r="A4" s="2" t="s">
        <v>4</v>
      </c>
      <c r="B4">
        <v>7</v>
      </c>
    </row>
    <row r="5" spans="1:2">
      <c r="A5" s="2" t="s">
        <v>18</v>
      </c>
      <c r="B5">
        <v>7</v>
      </c>
    </row>
    <row r="6" spans="1:2">
      <c r="A6" s="2" t="s">
        <v>27</v>
      </c>
      <c r="B6">
        <v>6</v>
      </c>
    </row>
    <row r="7" spans="1:2">
      <c r="A7" s="2" t="s">
        <v>41</v>
      </c>
      <c r="B7">
        <v>5</v>
      </c>
    </row>
    <row r="8" spans="1:2">
      <c r="A8" s="2" t="s">
        <v>42</v>
      </c>
      <c r="B8">
        <v>2</v>
      </c>
    </row>
    <row r="9" spans="1:2">
      <c r="A9" s="2" t="s">
        <v>56</v>
      </c>
      <c r="B9">
        <v>3</v>
      </c>
    </row>
    <row r="10" spans="1:2">
      <c r="A10" s="2" t="s">
        <v>46</v>
      </c>
      <c r="B10">
        <v>9</v>
      </c>
    </row>
    <row r="11" spans="1:2">
      <c r="A11" s="2" t="s">
        <v>60</v>
      </c>
      <c r="B11">
        <v>5</v>
      </c>
    </row>
    <row r="12" spans="1:2">
      <c r="A12" s="2" t="s">
        <v>71</v>
      </c>
      <c r="B12">
        <v>5</v>
      </c>
    </row>
    <row r="13" spans="1:2">
      <c r="A13" s="2" t="s">
        <v>80</v>
      </c>
      <c r="B13">
        <v>49</v>
      </c>
    </row>
    <row r="16" spans="1:2">
      <c r="A16" s="1" t="s">
        <v>62</v>
      </c>
    </row>
    <row r="17" spans="1:1">
      <c r="A17" s="2" t="s">
        <v>4</v>
      </c>
    </row>
    <row r="18" spans="1:1">
      <c r="A18" s="2" t="s">
        <v>18</v>
      </c>
    </row>
    <row r="19" spans="1:1">
      <c r="A19" s="2" t="s">
        <v>27</v>
      </c>
    </row>
    <row r="20" spans="1:1">
      <c r="A20" s="2" t="s">
        <v>41</v>
      </c>
    </row>
    <row r="21" spans="1:1">
      <c r="A21" s="2" t="s">
        <v>42</v>
      </c>
    </row>
    <row r="22" spans="1:1">
      <c r="A22" s="2" t="s">
        <v>56</v>
      </c>
    </row>
    <row r="23" spans="1:1">
      <c r="A23" s="2" t="s">
        <v>46</v>
      </c>
    </row>
    <row r="24" spans="1:1">
      <c r="A24" s="2" t="s">
        <v>60</v>
      </c>
    </row>
    <row r="25" spans="1:1">
      <c r="A25" s="2" t="s">
        <v>71</v>
      </c>
    </row>
    <row r="26" spans="1:1">
      <c r="A26" s="2" t="s">
        <v>63</v>
      </c>
    </row>
    <row r="52" spans="1:3">
      <c r="A52" t="s">
        <v>81</v>
      </c>
      <c r="B52">
        <v>9</v>
      </c>
    </row>
    <row r="53" spans="1:3">
      <c r="A53" t="s">
        <v>82</v>
      </c>
      <c r="B53">
        <v>20</v>
      </c>
    </row>
    <row r="54" spans="1:3">
      <c r="A54" t="s">
        <v>83</v>
      </c>
      <c r="B54">
        <v>50</v>
      </c>
    </row>
    <row r="57" spans="1:3">
      <c r="A57" t="s">
        <v>81</v>
      </c>
      <c r="B57" t="s">
        <v>204</v>
      </c>
      <c r="C57" t="s">
        <v>205</v>
      </c>
    </row>
    <row r="58" spans="1:3">
      <c r="A58" s="2" t="s">
        <v>202</v>
      </c>
      <c r="B58">
        <v>3</v>
      </c>
      <c r="C58">
        <v>8</v>
      </c>
    </row>
    <row r="59" spans="1:3">
      <c r="A59" s="2" t="s">
        <v>18</v>
      </c>
      <c r="B59">
        <v>3</v>
      </c>
      <c r="C59">
        <v>7</v>
      </c>
    </row>
    <row r="60" spans="1:3">
      <c r="A60" s="2" t="s">
        <v>27</v>
      </c>
      <c r="B60">
        <v>3</v>
      </c>
      <c r="C60">
        <v>6</v>
      </c>
    </row>
    <row r="61" spans="1:3">
      <c r="A61" s="2" t="s">
        <v>41</v>
      </c>
      <c r="B61">
        <v>2</v>
      </c>
      <c r="C61">
        <v>5</v>
      </c>
    </row>
    <row r="62" spans="1:3">
      <c r="A62" s="2" t="s">
        <v>42</v>
      </c>
      <c r="B62">
        <v>1</v>
      </c>
      <c r="C62">
        <v>2</v>
      </c>
    </row>
    <row r="63" spans="1:3">
      <c r="A63" s="2" t="s">
        <v>56</v>
      </c>
      <c r="B63">
        <v>1</v>
      </c>
      <c r="C63">
        <v>3</v>
      </c>
    </row>
    <row r="64" spans="1:3">
      <c r="A64" s="2" t="s">
        <v>46</v>
      </c>
      <c r="B64" s="5">
        <v>3</v>
      </c>
      <c r="C64">
        <v>9</v>
      </c>
    </row>
    <row r="65" spans="1:3">
      <c r="A65" s="2" t="s">
        <v>60</v>
      </c>
      <c r="B65">
        <v>2</v>
      </c>
      <c r="C65">
        <v>5</v>
      </c>
    </row>
    <row r="66" spans="1:3">
      <c r="A66" s="2" t="s">
        <v>71</v>
      </c>
      <c r="B66">
        <v>2</v>
      </c>
      <c r="C66">
        <v>5</v>
      </c>
    </row>
    <row r="67" spans="1:3">
      <c r="A67" s="2" t="s">
        <v>203</v>
      </c>
      <c r="B67">
        <f>SUM(B58:B66)</f>
        <v>20</v>
      </c>
      <c r="C67" s="10">
        <v>50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08D5-EA7C-43DF-87F4-08D788D3CED7}">
  <dimension ref="A3:C13"/>
  <sheetViews>
    <sheetView workbookViewId="0">
      <selection activeCell="E6" sqref="E6"/>
    </sheetView>
  </sheetViews>
  <sheetFormatPr baseColWidth="10" defaultRowHeight="13.9"/>
  <cols>
    <col min="1" max="1" width="57.75" bestFit="1" customWidth="1"/>
    <col min="2" max="2" width="26.75" bestFit="1" customWidth="1"/>
    <col min="3" max="3" width="26.0625" bestFit="1" customWidth="1"/>
    <col min="4" max="4" width="6.3125" bestFit="1" customWidth="1"/>
    <col min="5" max="5" width="31.1875" bestFit="1" customWidth="1"/>
    <col min="6" max="6" width="10.5" bestFit="1" customWidth="1"/>
    <col min="7" max="9" width="2.5625" bestFit="1" customWidth="1"/>
    <col min="10" max="10" width="3.5625" bestFit="1" customWidth="1"/>
    <col min="11" max="11" width="10.5" bestFit="1" customWidth="1"/>
  </cols>
  <sheetData>
    <row r="3" spans="1:3">
      <c r="A3" s="1" t="s">
        <v>62</v>
      </c>
      <c r="B3" t="s">
        <v>85</v>
      </c>
      <c r="C3" t="s">
        <v>87</v>
      </c>
    </row>
    <row r="4" spans="1:3">
      <c r="A4" s="2" t="s">
        <v>4</v>
      </c>
      <c r="B4">
        <v>198</v>
      </c>
      <c r="C4">
        <v>44</v>
      </c>
    </row>
    <row r="5" spans="1:3">
      <c r="A5" s="2" t="s">
        <v>18</v>
      </c>
      <c r="B5">
        <v>82</v>
      </c>
      <c r="C5">
        <v>36</v>
      </c>
    </row>
    <row r="6" spans="1:3">
      <c r="A6" s="2" t="s">
        <v>27</v>
      </c>
      <c r="B6">
        <v>82</v>
      </c>
      <c r="C6">
        <v>23</v>
      </c>
    </row>
    <row r="7" spans="1:3">
      <c r="A7" s="2" t="s">
        <v>41</v>
      </c>
      <c r="B7">
        <v>42</v>
      </c>
      <c r="C7">
        <v>22</v>
      </c>
    </row>
    <row r="8" spans="1:3">
      <c r="A8" s="2" t="s">
        <v>42</v>
      </c>
      <c r="B8">
        <v>4</v>
      </c>
      <c r="C8">
        <v>104</v>
      </c>
    </row>
    <row r="9" spans="1:3">
      <c r="A9" s="2" t="s">
        <v>56</v>
      </c>
      <c r="B9">
        <v>25</v>
      </c>
      <c r="C9">
        <v>8</v>
      </c>
    </row>
    <row r="10" spans="1:3">
      <c r="A10" s="2" t="s">
        <v>46</v>
      </c>
      <c r="B10">
        <v>98</v>
      </c>
      <c r="C10">
        <v>50</v>
      </c>
    </row>
    <row r="11" spans="1:3">
      <c r="A11" s="2" t="s">
        <v>60</v>
      </c>
      <c r="B11">
        <v>26</v>
      </c>
      <c r="C11">
        <v>12</v>
      </c>
    </row>
    <row r="12" spans="1:3">
      <c r="A12" s="2" t="s">
        <v>71</v>
      </c>
      <c r="B12">
        <v>100</v>
      </c>
      <c r="C12">
        <v>35</v>
      </c>
    </row>
    <row r="13" spans="1:3">
      <c r="A13" s="2" t="s">
        <v>63</v>
      </c>
      <c r="B13">
        <v>657</v>
      </c>
      <c r="C13">
        <v>334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EA2-02B5-4727-8722-63F5F85D9E4E}">
  <dimension ref="A1:I52"/>
  <sheetViews>
    <sheetView tabSelected="1" topLeftCell="B1" zoomScale="70" zoomScaleNormal="70" workbookViewId="0">
      <selection activeCell="I18" sqref="I18"/>
    </sheetView>
  </sheetViews>
  <sheetFormatPr baseColWidth="10" defaultColWidth="61.6875" defaultRowHeight="24.4" customHeight="1"/>
  <cols>
    <col min="1" max="1" width="16.5" customWidth="1"/>
    <col min="2" max="2" width="103.5" customWidth="1"/>
    <col min="3" max="4" width="61.6875" customWidth="1"/>
    <col min="5" max="8" width="12.25" customWidth="1"/>
  </cols>
  <sheetData>
    <row r="1" spans="1:9" ht="24.4" customHeight="1">
      <c r="A1" s="35" t="s">
        <v>100</v>
      </c>
      <c r="B1" s="35" t="s">
        <v>0</v>
      </c>
      <c r="C1" s="35" t="s">
        <v>1</v>
      </c>
      <c r="D1" s="35" t="s">
        <v>2</v>
      </c>
      <c r="E1" s="35" t="s">
        <v>3</v>
      </c>
      <c r="F1" s="35" t="s">
        <v>79</v>
      </c>
      <c r="G1" s="35" t="s">
        <v>86</v>
      </c>
      <c r="H1" s="36" t="s">
        <v>211</v>
      </c>
    </row>
    <row r="2" spans="1:9" ht="24.4" customHeight="1">
      <c r="A2" s="37" t="s">
        <v>90</v>
      </c>
      <c r="B2" s="37" t="s">
        <v>101</v>
      </c>
      <c r="C2" s="38" t="s">
        <v>5</v>
      </c>
      <c r="D2" s="38" t="s">
        <v>6</v>
      </c>
      <c r="E2" s="38" t="s">
        <v>7</v>
      </c>
      <c r="F2" s="38">
        <v>24</v>
      </c>
      <c r="G2" s="38">
        <v>12</v>
      </c>
      <c r="H2" s="39" t="s">
        <v>7</v>
      </c>
      <c r="I2" s="8" t="s">
        <v>218</v>
      </c>
    </row>
    <row r="3" spans="1:9" ht="24.4" customHeight="1">
      <c r="A3" s="37" t="s">
        <v>90</v>
      </c>
      <c r="B3" s="37" t="s">
        <v>102</v>
      </c>
      <c r="C3" s="38" t="s">
        <v>8</v>
      </c>
      <c r="D3" s="38" t="s">
        <v>9</v>
      </c>
      <c r="E3" s="38" t="s">
        <v>7</v>
      </c>
      <c r="F3" s="38">
        <v>20</v>
      </c>
      <c r="G3" s="38">
        <v>10</v>
      </c>
      <c r="H3" s="39" t="s">
        <v>7</v>
      </c>
      <c r="I3" s="8" t="s">
        <v>219</v>
      </c>
    </row>
    <row r="4" spans="1:9" ht="24.4" customHeight="1">
      <c r="A4" s="37" t="s">
        <v>91</v>
      </c>
      <c r="B4" s="37" t="s">
        <v>103</v>
      </c>
      <c r="C4" s="38" t="s">
        <v>10</v>
      </c>
      <c r="D4" s="38" t="s">
        <v>11</v>
      </c>
      <c r="E4" s="38" t="s">
        <v>7</v>
      </c>
      <c r="F4" s="38">
        <v>10</v>
      </c>
      <c r="G4" s="38">
        <v>4</v>
      </c>
      <c r="H4" s="39" t="s">
        <v>7</v>
      </c>
      <c r="I4" s="8" t="s">
        <v>220</v>
      </c>
    </row>
    <row r="5" spans="1:9" ht="24.4" customHeight="1">
      <c r="A5" s="37" t="s">
        <v>91</v>
      </c>
      <c r="B5" s="37" t="s">
        <v>104</v>
      </c>
      <c r="C5" s="38" t="s">
        <v>12</v>
      </c>
      <c r="D5" s="38" t="s">
        <v>6</v>
      </c>
      <c r="E5" s="38" t="s">
        <v>7</v>
      </c>
      <c r="F5" s="38">
        <v>40</v>
      </c>
      <c r="G5" s="38">
        <v>4</v>
      </c>
      <c r="H5" s="39" t="s">
        <v>7</v>
      </c>
      <c r="I5" s="8" t="s">
        <v>221</v>
      </c>
    </row>
    <row r="6" spans="1:9" ht="16.899999999999999" customHeight="1">
      <c r="A6" s="37" t="s">
        <v>91</v>
      </c>
      <c r="B6" s="37" t="s">
        <v>105</v>
      </c>
      <c r="C6" s="38" t="s">
        <v>13</v>
      </c>
      <c r="D6" s="38" t="s">
        <v>14</v>
      </c>
      <c r="E6" s="38" t="s">
        <v>15</v>
      </c>
      <c r="F6" s="38">
        <v>100</v>
      </c>
      <c r="G6" s="38">
        <v>10</v>
      </c>
      <c r="H6" s="39">
        <v>2029</v>
      </c>
    </row>
    <row r="7" spans="1:9" ht="24.4" customHeight="1">
      <c r="A7" s="37" t="s">
        <v>92</v>
      </c>
      <c r="B7" s="37" t="s">
        <v>106</v>
      </c>
      <c r="C7" s="38" t="s">
        <v>16</v>
      </c>
      <c r="D7" s="38" t="s">
        <v>11</v>
      </c>
      <c r="E7" s="38" t="s">
        <v>7</v>
      </c>
      <c r="F7" s="38">
        <v>2</v>
      </c>
      <c r="G7" s="38">
        <v>2</v>
      </c>
      <c r="H7" s="39" t="s">
        <v>7</v>
      </c>
      <c r="I7" s="8" t="s">
        <v>222</v>
      </c>
    </row>
    <row r="8" spans="1:9" ht="24.4" customHeight="1">
      <c r="A8" s="37" t="s">
        <v>92</v>
      </c>
      <c r="B8" s="37" t="s">
        <v>107</v>
      </c>
      <c r="C8" s="38" t="s">
        <v>17</v>
      </c>
      <c r="D8" s="38" t="s">
        <v>108</v>
      </c>
      <c r="E8" s="38" t="s">
        <v>7</v>
      </c>
      <c r="F8" s="38">
        <v>2</v>
      </c>
      <c r="G8" s="38">
        <v>2</v>
      </c>
      <c r="H8" s="39" t="s">
        <v>7</v>
      </c>
      <c r="I8" s="8" t="s">
        <v>223</v>
      </c>
    </row>
    <row r="9" spans="1:9" ht="24.4" customHeight="1">
      <c r="A9" s="37" t="s">
        <v>109</v>
      </c>
      <c r="B9" s="37" t="s">
        <v>110</v>
      </c>
      <c r="C9" s="38" t="s">
        <v>19</v>
      </c>
      <c r="D9" s="38" t="s">
        <v>6</v>
      </c>
      <c r="E9" s="38" t="s">
        <v>7</v>
      </c>
      <c r="F9" s="38">
        <v>2</v>
      </c>
      <c r="G9" s="38">
        <v>2</v>
      </c>
      <c r="H9" s="39" t="s">
        <v>7</v>
      </c>
      <c r="I9" s="8" t="s">
        <v>228</v>
      </c>
    </row>
    <row r="10" spans="1:9" ht="24.4" customHeight="1">
      <c r="A10" s="37" t="s">
        <v>109</v>
      </c>
      <c r="B10" s="37" t="s">
        <v>111</v>
      </c>
      <c r="C10" s="38" t="s">
        <v>20</v>
      </c>
      <c r="D10" s="38" t="s">
        <v>21</v>
      </c>
      <c r="E10" s="38" t="s">
        <v>7</v>
      </c>
      <c r="F10" s="38">
        <v>2</v>
      </c>
      <c r="G10" s="38">
        <v>2</v>
      </c>
      <c r="H10" s="39" t="s">
        <v>7</v>
      </c>
      <c r="I10" s="8" t="s">
        <v>229</v>
      </c>
    </row>
    <row r="11" spans="1:9" ht="24.4" customHeight="1">
      <c r="A11" s="37" t="s">
        <v>109</v>
      </c>
      <c r="B11" s="37" t="s">
        <v>112</v>
      </c>
      <c r="C11" s="38" t="s">
        <v>22</v>
      </c>
      <c r="D11" s="38" t="s">
        <v>6</v>
      </c>
      <c r="E11" s="38" t="s">
        <v>7</v>
      </c>
      <c r="F11" s="38">
        <v>12</v>
      </c>
      <c r="G11" s="38">
        <v>4</v>
      </c>
      <c r="H11" s="39" t="s">
        <v>7</v>
      </c>
      <c r="I11" s="8" t="s">
        <v>224</v>
      </c>
    </row>
    <row r="12" spans="1:9" ht="24.4" customHeight="1">
      <c r="A12" s="37" t="s">
        <v>113</v>
      </c>
      <c r="B12" s="37" t="s">
        <v>114</v>
      </c>
      <c r="C12" s="38" t="s">
        <v>25</v>
      </c>
      <c r="D12" s="38" t="s">
        <v>26</v>
      </c>
      <c r="E12" s="38" t="s">
        <v>7</v>
      </c>
      <c r="F12" s="38">
        <v>4</v>
      </c>
      <c r="G12" s="38">
        <v>4</v>
      </c>
      <c r="H12" s="39" t="s">
        <v>7</v>
      </c>
      <c r="I12" s="45" t="s">
        <v>230</v>
      </c>
    </row>
    <row r="13" spans="1:9" ht="24.4" customHeight="1">
      <c r="A13" s="37" t="s">
        <v>113</v>
      </c>
      <c r="B13" s="37" t="s">
        <v>115</v>
      </c>
      <c r="C13" s="38" t="s">
        <v>116</v>
      </c>
      <c r="D13" s="38" t="s">
        <v>6</v>
      </c>
      <c r="E13" s="38" t="s">
        <v>7</v>
      </c>
      <c r="F13" s="38">
        <v>12</v>
      </c>
      <c r="G13" s="38">
        <v>4</v>
      </c>
      <c r="H13" s="39" t="s">
        <v>7</v>
      </c>
      <c r="I13" s="45" t="s">
        <v>231</v>
      </c>
    </row>
    <row r="14" spans="1:9" ht="24.4" customHeight="1">
      <c r="A14" s="37" t="s">
        <v>117</v>
      </c>
      <c r="B14" s="37" t="s">
        <v>118</v>
      </c>
      <c r="C14" s="38" t="s">
        <v>23</v>
      </c>
      <c r="D14" s="38" t="s">
        <v>21</v>
      </c>
      <c r="E14" s="38" t="s">
        <v>7</v>
      </c>
      <c r="F14" s="38">
        <v>25</v>
      </c>
      <c r="G14" s="38">
        <v>15</v>
      </c>
      <c r="H14" s="39" t="s">
        <v>7</v>
      </c>
      <c r="I14" s="45" t="s">
        <v>232</v>
      </c>
    </row>
    <row r="15" spans="1:9" ht="24.4" customHeight="1">
      <c r="A15" s="37" t="s">
        <v>117</v>
      </c>
      <c r="B15" s="37" t="s">
        <v>119</v>
      </c>
      <c r="C15" s="38" t="s">
        <v>24</v>
      </c>
      <c r="D15" s="38" t="s">
        <v>6</v>
      </c>
      <c r="E15" s="38" t="s">
        <v>7</v>
      </c>
      <c r="F15" s="38">
        <v>25</v>
      </c>
      <c r="G15" s="38">
        <v>5</v>
      </c>
      <c r="H15" s="39" t="s">
        <v>7</v>
      </c>
      <c r="I15" s="43" t="s">
        <v>233</v>
      </c>
    </row>
    <row r="16" spans="1:9" ht="51.5" customHeight="1">
      <c r="A16" s="37" t="s">
        <v>93</v>
      </c>
      <c r="B16" s="37" t="s">
        <v>120</v>
      </c>
      <c r="C16" s="38" t="s">
        <v>28</v>
      </c>
      <c r="D16" s="38" t="s">
        <v>6</v>
      </c>
      <c r="E16" s="38" t="s">
        <v>7</v>
      </c>
      <c r="F16" s="38">
        <v>20</v>
      </c>
      <c r="G16" s="38">
        <v>6</v>
      </c>
      <c r="H16" s="39" t="s">
        <v>7</v>
      </c>
      <c r="I16" s="44" t="s">
        <v>235</v>
      </c>
    </row>
    <row r="17" spans="1:9" ht="24.4" customHeight="1">
      <c r="A17" s="37" t="s">
        <v>121</v>
      </c>
      <c r="B17" s="37" t="s">
        <v>122</v>
      </c>
      <c r="C17" s="38" t="s">
        <v>29</v>
      </c>
      <c r="D17" s="38" t="s">
        <v>6</v>
      </c>
      <c r="E17" s="38" t="s">
        <v>7</v>
      </c>
      <c r="F17" s="38">
        <v>20</v>
      </c>
      <c r="G17" s="38">
        <v>6</v>
      </c>
      <c r="H17" s="39" t="s">
        <v>7</v>
      </c>
      <c r="I17" s="44" t="s">
        <v>237</v>
      </c>
    </row>
    <row r="18" spans="1:9" ht="24.4" customHeight="1">
      <c r="A18" s="37" t="s">
        <v>121</v>
      </c>
      <c r="B18" s="37" t="s">
        <v>123</v>
      </c>
      <c r="C18" s="38" t="s">
        <v>30</v>
      </c>
      <c r="D18" s="38" t="s">
        <v>6</v>
      </c>
      <c r="E18" s="38" t="s">
        <v>7</v>
      </c>
      <c r="F18" s="38">
        <v>10</v>
      </c>
      <c r="G18" s="38">
        <v>4</v>
      </c>
      <c r="H18" s="39" t="s">
        <v>7</v>
      </c>
      <c r="I18" s="44" t="s">
        <v>236</v>
      </c>
    </row>
    <row r="19" spans="1:9" ht="48.4" customHeight="1">
      <c r="A19" s="37" t="s">
        <v>94</v>
      </c>
      <c r="B19" s="37" t="s">
        <v>212</v>
      </c>
      <c r="C19" s="38" t="s">
        <v>31</v>
      </c>
      <c r="D19" s="38" t="s">
        <v>6</v>
      </c>
      <c r="E19" s="38" t="s">
        <v>7</v>
      </c>
      <c r="F19" s="38">
        <v>10</v>
      </c>
      <c r="G19" s="38">
        <v>2</v>
      </c>
      <c r="H19" s="39" t="s">
        <v>7</v>
      </c>
      <c r="I19" s="44" t="s">
        <v>234</v>
      </c>
    </row>
    <row r="20" spans="1:9" ht="24.4" customHeight="1">
      <c r="A20" s="37" t="s">
        <v>94</v>
      </c>
      <c r="B20" s="37" t="s">
        <v>124</v>
      </c>
      <c r="C20" s="38" t="s">
        <v>32</v>
      </c>
      <c r="D20" s="38" t="s">
        <v>6</v>
      </c>
      <c r="E20" s="38" t="s">
        <v>7</v>
      </c>
      <c r="F20" s="38">
        <v>2</v>
      </c>
      <c r="G20" s="38">
        <v>1</v>
      </c>
      <c r="H20" s="39" t="s">
        <v>7</v>
      </c>
      <c r="I20" s="44" t="s">
        <v>225</v>
      </c>
    </row>
    <row r="21" spans="1:9" ht="24.4" customHeight="1">
      <c r="A21" s="37" t="s">
        <v>94</v>
      </c>
      <c r="B21" s="37" t="s">
        <v>125</v>
      </c>
      <c r="C21" s="38" t="s">
        <v>33</v>
      </c>
      <c r="D21" s="38" t="s">
        <v>6</v>
      </c>
      <c r="E21" s="38" t="s">
        <v>7</v>
      </c>
      <c r="F21" s="38">
        <v>20</v>
      </c>
      <c r="G21" s="38">
        <v>4</v>
      </c>
      <c r="H21" s="39" t="s">
        <v>7</v>
      </c>
      <c r="I21" s="44" t="s">
        <v>226</v>
      </c>
    </row>
    <row r="22" spans="1:9" ht="16.899999999999999" customHeight="1">
      <c r="A22" s="37" t="s">
        <v>126</v>
      </c>
      <c r="B22" s="37" t="s">
        <v>127</v>
      </c>
      <c r="C22" s="38" t="s">
        <v>34</v>
      </c>
      <c r="D22" s="38" t="s">
        <v>35</v>
      </c>
      <c r="E22" s="38" t="s">
        <v>15</v>
      </c>
      <c r="F22" s="38">
        <v>10</v>
      </c>
      <c r="G22" s="38">
        <v>2</v>
      </c>
      <c r="H22" s="39">
        <v>2027</v>
      </c>
    </row>
    <row r="23" spans="1:9" ht="16.899999999999999" customHeight="1">
      <c r="A23" s="37" t="s">
        <v>126</v>
      </c>
      <c r="B23" s="37" t="s">
        <v>128</v>
      </c>
      <c r="C23" s="38" t="s">
        <v>36</v>
      </c>
      <c r="D23" s="38" t="s">
        <v>37</v>
      </c>
      <c r="E23" s="38" t="s">
        <v>15</v>
      </c>
      <c r="F23" s="38">
        <v>10</v>
      </c>
      <c r="G23" s="38">
        <v>4</v>
      </c>
      <c r="H23" s="39">
        <v>2027</v>
      </c>
    </row>
    <row r="24" spans="1:9" ht="16.899999999999999" customHeight="1">
      <c r="A24" s="37" t="s">
        <v>129</v>
      </c>
      <c r="B24" s="37" t="s">
        <v>130</v>
      </c>
      <c r="C24" s="38" t="s">
        <v>38</v>
      </c>
      <c r="D24" s="38" t="s">
        <v>35</v>
      </c>
      <c r="E24" s="38" t="s">
        <v>7</v>
      </c>
      <c r="F24" s="38">
        <v>10</v>
      </c>
      <c r="G24" s="38">
        <v>10</v>
      </c>
      <c r="H24" s="39" t="s">
        <v>209</v>
      </c>
    </row>
    <row r="25" spans="1:9" ht="16.899999999999999" customHeight="1">
      <c r="A25" s="37" t="s">
        <v>129</v>
      </c>
      <c r="B25" s="37" t="s">
        <v>131</v>
      </c>
      <c r="C25" s="38" t="s">
        <v>39</v>
      </c>
      <c r="D25" s="38" t="s">
        <v>35</v>
      </c>
      <c r="E25" s="38" t="s">
        <v>7</v>
      </c>
      <c r="F25" s="38">
        <v>2</v>
      </c>
      <c r="G25" s="38">
        <v>2</v>
      </c>
      <c r="H25" s="39" t="s">
        <v>209</v>
      </c>
    </row>
    <row r="26" spans="1:9" ht="16.899999999999999" customHeight="1">
      <c r="A26" s="37" t="s">
        <v>129</v>
      </c>
      <c r="B26" s="37" t="s">
        <v>132</v>
      </c>
      <c r="C26" s="38" t="s">
        <v>40</v>
      </c>
      <c r="D26" s="38" t="s">
        <v>37</v>
      </c>
      <c r="E26" s="38" t="s">
        <v>7</v>
      </c>
      <c r="F26" s="38">
        <v>10</v>
      </c>
      <c r="G26" s="38">
        <v>4</v>
      </c>
      <c r="H26" s="39" t="s">
        <v>209</v>
      </c>
    </row>
    <row r="27" spans="1:9" ht="24.4" customHeight="1">
      <c r="A27" s="37" t="s">
        <v>133</v>
      </c>
      <c r="B27" s="37" t="s">
        <v>134</v>
      </c>
      <c r="C27" s="38" t="s">
        <v>43</v>
      </c>
      <c r="D27" s="38" t="s">
        <v>44</v>
      </c>
      <c r="E27" s="38" t="s">
        <v>7</v>
      </c>
      <c r="F27" s="38">
        <v>2</v>
      </c>
      <c r="G27" s="38">
        <v>100</v>
      </c>
      <c r="H27" s="39" t="s">
        <v>7</v>
      </c>
      <c r="I27" s="8" t="s">
        <v>238</v>
      </c>
    </row>
    <row r="28" spans="1:9" ht="24.4" customHeight="1">
      <c r="A28" s="37" t="s">
        <v>133</v>
      </c>
      <c r="B28" s="37" t="s">
        <v>135</v>
      </c>
      <c r="C28" s="38" t="s">
        <v>45</v>
      </c>
      <c r="D28" s="38" t="s">
        <v>136</v>
      </c>
      <c r="E28" s="38" t="s">
        <v>7</v>
      </c>
      <c r="F28" s="38">
        <v>2</v>
      </c>
      <c r="G28" s="38">
        <v>4</v>
      </c>
      <c r="H28" s="39" t="s">
        <v>7</v>
      </c>
      <c r="I28" s="8" t="s">
        <v>239</v>
      </c>
    </row>
    <row r="29" spans="1:9" ht="24.4" customHeight="1">
      <c r="A29" s="37" t="s">
        <v>137</v>
      </c>
      <c r="B29" s="37" t="s">
        <v>138</v>
      </c>
      <c r="C29" s="38" t="s">
        <v>57</v>
      </c>
      <c r="D29" s="38" t="s">
        <v>139</v>
      </c>
      <c r="E29" s="38" t="s">
        <v>7</v>
      </c>
      <c r="F29" s="38">
        <v>5</v>
      </c>
      <c r="G29" s="38">
        <v>2</v>
      </c>
      <c r="H29" s="39" t="s">
        <v>7</v>
      </c>
      <c r="I29" s="8" t="s">
        <v>240</v>
      </c>
    </row>
    <row r="30" spans="1:9" ht="16.899999999999999" customHeight="1">
      <c r="A30" s="37" t="s">
        <v>137</v>
      </c>
      <c r="B30" s="37" t="s">
        <v>217</v>
      </c>
      <c r="C30" s="38" t="s">
        <v>58</v>
      </c>
      <c r="D30" s="38" t="s">
        <v>44</v>
      </c>
      <c r="E30" s="38" t="s">
        <v>15</v>
      </c>
      <c r="F30" s="38">
        <v>10</v>
      </c>
      <c r="G30" s="38">
        <v>4</v>
      </c>
      <c r="H30" s="39">
        <v>2027</v>
      </c>
    </row>
    <row r="31" spans="1:9" ht="16.899999999999999" customHeight="1">
      <c r="A31" s="37" t="s">
        <v>137</v>
      </c>
      <c r="B31" s="37" t="s">
        <v>140</v>
      </c>
      <c r="C31" s="38" t="s">
        <v>59</v>
      </c>
      <c r="D31" s="38" t="s">
        <v>84</v>
      </c>
      <c r="E31" s="38" t="s">
        <v>15</v>
      </c>
      <c r="F31" s="38">
        <v>10</v>
      </c>
      <c r="G31" s="38">
        <v>2</v>
      </c>
      <c r="H31" s="39">
        <v>2027</v>
      </c>
    </row>
    <row r="32" spans="1:9" ht="24.4" customHeight="1">
      <c r="A32" s="37" t="s">
        <v>95</v>
      </c>
      <c r="B32" s="37" t="s">
        <v>141</v>
      </c>
      <c r="C32" s="38" t="s">
        <v>47</v>
      </c>
      <c r="D32" s="38" t="s">
        <v>26</v>
      </c>
      <c r="E32" s="38" t="s">
        <v>7</v>
      </c>
      <c r="F32" s="38">
        <v>2</v>
      </c>
      <c r="G32" s="38">
        <v>2</v>
      </c>
      <c r="H32" s="39" t="s">
        <v>7</v>
      </c>
      <c r="I32" s="8" t="s">
        <v>242</v>
      </c>
    </row>
    <row r="33" spans="1:9" ht="24.4" customHeight="1">
      <c r="A33" s="37" t="s">
        <v>95</v>
      </c>
      <c r="B33" s="37" t="s">
        <v>142</v>
      </c>
      <c r="C33" s="38" t="s">
        <v>48</v>
      </c>
      <c r="D33" s="38" t="s">
        <v>49</v>
      </c>
      <c r="E33" s="38" t="s">
        <v>7</v>
      </c>
      <c r="F33" s="38">
        <v>2</v>
      </c>
      <c r="G33" s="38">
        <v>2</v>
      </c>
      <c r="H33" s="39" t="s">
        <v>7</v>
      </c>
    </row>
    <row r="34" spans="1:9" ht="24.4" customHeight="1">
      <c r="A34" s="37" t="s">
        <v>96</v>
      </c>
      <c r="B34" s="37" t="s">
        <v>143</v>
      </c>
      <c r="C34" s="38" t="s">
        <v>50</v>
      </c>
      <c r="D34" s="38" t="s">
        <v>84</v>
      </c>
      <c r="E34" s="38" t="s">
        <v>15</v>
      </c>
      <c r="F34" s="38">
        <v>2</v>
      </c>
      <c r="G34" s="38">
        <v>2</v>
      </c>
      <c r="H34" s="39">
        <v>2026</v>
      </c>
      <c r="I34" t="s">
        <v>251</v>
      </c>
    </row>
    <row r="35" spans="1:9" ht="24.4" customHeight="1">
      <c r="A35" s="37" t="s">
        <v>96</v>
      </c>
      <c r="B35" s="37" t="s">
        <v>144</v>
      </c>
      <c r="C35" s="38" t="s">
        <v>51</v>
      </c>
      <c r="D35" s="38" t="s">
        <v>6</v>
      </c>
      <c r="E35" s="38" t="s">
        <v>7</v>
      </c>
      <c r="F35" s="38">
        <v>10</v>
      </c>
      <c r="G35" s="38">
        <v>4</v>
      </c>
      <c r="H35" s="39" t="s">
        <v>7</v>
      </c>
      <c r="I35" s="8" t="s">
        <v>252</v>
      </c>
    </row>
    <row r="36" spans="1:9" ht="24.4" customHeight="1">
      <c r="A36" s="37" t="s">
        <v>145</v>
      </c>
      <c r="B36" s="37" t="s">
        <v>146</v>
      </c>
      <c r="C36" s="38" t="s">
        <v>52</v>
      </c>
      <c r="D36" s="38" t="s">
        <v>147</v>
      </c>
      <c r="E36" s="38" t="s">
        <v>15</v>
      </c>
      <c r="F36" s="38">
        <v>2</v>
      </c>
      <c r="G36" s="38">
        <v>2</v>
      </c>
      <c r="H36" s="39">
        <v>2026</v>
      </c>
      <c r="I36" t="s">
        <v>253</v>
      </c>
    </row>
    <row r="37" spans="1:9" ht="16.899999999999999" customHeight="1">
      <c r="A37" s="37" t="s">
        <v>145</v>
      </c>
      <c r="B37" s="37" t="s">
        <v>148</v>
      </c>
      <c r="C37" s="38" t="s">
        <v>53</v>
      </c>
      <c r="D37" s="38" t="s">
        <v>6</v>
      </c>
      <c r="E37" s="38" t="s">
        <v>15</v>
      </c>
      <c r="F37" s="38">
        <v>20</v>
      </c>
      <c r="G37" s="38">
        <v>8</v>
      </c>
      <c r="H37" s="39">
        <v>2027</v>
      </c>
    </row>
    <row r="38" spans="1:9" ht="16.899999999999999" customHeight="1">
      <c r="A38" s="37" t="s">
        <v>145</v>
      </c>
      <c r="B38" s="37" t="s">
        <v>149</v>
      </c>
      <c r="C38" s="38" t="s">
        <v>54</v>
      </c>
      <c r="D38" s="38" t="s">
        <v>6</v>
      </c>
      <c r="E38" s="38" t="s">
        <v>15</v>
      </c>
      <c r="F38" s="38">
        <v>20</v>
      </c>
      <c r="G38" s="38">
        <v>10</v>
      </c>
      <c r="H38" s="39">
        <v>2028</v>
      </c>
    </row>
    <row r="39" spans="1:9" ht="16.899999999999999" customHeight="1">
      <c r="A39" s="37" t="s">
        <v>145</v>
      </c>
      <c r="B39" s="37" t="s">
        <v>150</v>
      </c>
      <c r="C39" s="38" t="s">
        <v>55</v>
      </c>
      <c r="D39" s="38" t="s">
        <v>6</v>
      </c>
      <c r="E39" s="38" t="s">
        <v>15</v>
      </c>
      <c r="F39" s="38">
        <v>20</v>
      </c>
      <c r="G39" s="38">
        <v>10</v>
      </c>
      <c r="H39" s="39">
        <v>2028</v>
      </c>
    </row>
    <row r="40" spans="1:9" ht="16.899999999999999" customHeight="1">
      <c r="A40" s="37" t="s">
        <v>145</v>
      </c>
      <c r="B40" s="37" t="s">
        <v>151</v>
      </c>
      <c r="C40" s="38" t="s">
        <v>61</v>
      </c>
      <c r="D40" s="38" t="s">
        <v>6</v>
      </c>
      <c r="E40" s="38" t="s">
        <v>15</v>
      </c>
      <c r="F40" s="38">
        <v>20</v>
      </c>
      <c r="G40" s="38">
        <v>10</v>
      </c>
      <c r="H40" s="39">
        <v>2027</v>
      </c>
    </row>
    <row r="41" spans="1:9" ht="24.4" customHeight="1">
      <c r="A41" s="37" t="s">
        <v>97</v>
      </c>
      <c r="B41" s="37" t="s">
        <v>152</v>
      </c>
      <c r="C41" s="38" t="s">
        <v>64</v>
      </c>
      <c r="D41" s="38" t="s">
        <v>65</v>
      </c>
      <c r="E41" s="38" t="s">
        <v>15</v>
      </c>
      <c r="F41" s="38">
        <v>10</v>
      </c>
      <c r="G41" s="38">
        <v>4</v>
      </c>
      <c r="H41" s="39">
        <v>2026</v>
      </c>
      <c r="I41" t="s">
        <v>241</v>
      </c>
    </row>
    <row r="42" spans="1:9" ht="24.4" customHeight="1">
      <c r="A42" s="37" t="s">
        <v>97</v>
      </c>
      <c r="B42" s="37" t="s">
        <v>153</v>
      </c>
      <c r="C42" s="38" t="s">
        <v>66</v>
      </c>
      <c r="D42" s="38" t="s">
        <v>67</v>
      </c>
      <c r="E42" s="38" t="s">
        <v>7</v>
      </c>
      <c r="F42" s="38">
        <v>2</v>
      </c>
      <c r="G42" s="38">
        <v>2</v>
      </c>
      <c r="H42" s="39" t="s">
        <v>7</v>
      </c>
      <c r="I42" s="8" t="s">
        <v>247</v>
      </c>
    </row>
    <row r="43" spans="1:9" ht="24.4" customHeight="1">
      <c r="A43" s="37" t="s">
        <v>98</v>
      </c>
      <c r="B43" s="37" t="s">
        <v>154</v>
      </c>
      <c r="C43" s="38" t="s">
        <v>68</v>
      </c>
      <c r="D43" s="38" t="s">
        <v>84</v>
      </c>
      <c r="E43" s="38" t="s">
        <v>7</v>
      </c>
      <c r="F43" s="38">
        <v>2</v>
      </c>
      <c r="G43" s="38">
        <v>2</v>
      </c>
      <c r="H43" s="39" t="s">
        <v>7</v>
      </c>
      <c r="I43" s="8" t="s">
        <v>248</v>
      </c>
    </row>
    <row r="44" spans="1:9" ht="24.4" customHeight="1">
      <c r="A44" s="37" t="s">
        <v>98</v>
      </c>
      <c r="B44" s="37" t="s">
        <v>155</v>
      </c>
      <c r="C44" s="38" t="s">
        <v>69</v>
      </c>
      <c r="D44" s="38" t="s">
        <v>6</v>
      </c>
      <c r="E44" s="38" t="s">
        <v>7</v>
      </c>
      <c r="F44" s="38">
        <v>10</v>
      </c>
      <c r="G44" s="38">
        <v>2</v>
      </c>
      <c r="H44" s="39" t="s">
        <v>7</v>
      </c>
      <c r="I44" s="8" t="s">
        <v>227</v>
      </c>
    </row>
    <row r="45" spans="1:9" ht="24.4" customHeight="1">
      <c r="A45" s="37" t="s">
        <v>98</v>
      </c>
      <c r="B45" s="37" t="s">
        <v>156</v>
      </c>
      <c r="C45" s="38" t="s">
        <v>70</v>
      </c>
      <c r="D45" s="38" t="s">
        <v>157</v>
      </c>
      <c r="E45" s="38" t="s">
        <v>7</v>
      </c>
      <c r="F45" s="38">
        <v>2</v>
      </c>
      <c r="G45" s="38">
        <v>2</v>
      </c>
      <c r="H45" s="39" t="s">
        <v>7</v>
      </c>
      <c r="I45" s="8" t="s">
        <v>250</v>
      </c>
    </row>
    <row r="46" spans="1:9" ht="80.55" customHeight="1">
      <c r="A46" s="37" t="s">
        <v>99</v>
      </c>
      <c r="B46" s="37" t="s">
        <v>214</v>
      </c>
      <c r="C46" s="38" t="s">
        <v>72</v>
      </c>
      <c r="D46" s="38" t="s">
        <v>73</v>
      </c>
      <c r="E46" s="38" t="s">
        <v>15</v>
      </c>
      <c r="F46" s="38">
        <v>20</v>
      </c>
      <c r="G46" s="38">
        <v>10</v>
      </c>
      <c r="H46" s="39">
        <v>2026</v>
      </c>
      <c r="I46" t="s">
        <v>244</v>
      </c>
    </row>
    <row r="47" spans="1:9" ht="59.25" customHeight="1">
      <c r="A47" s="37" t="s">
        <v>99</v>
      </c>
      <c r="B47" s="37" t="s">
        <v>216</v>
      </c>
      <c r="C47" s="38" t="s">
        <v>74</v>
      </c>
      <c r="D47" s="38" t="s">
        <v>73</v>
      </c>
      <c r="E47" s="38" t="s">
        <v>15</v>
      </c>
      <c r="F47" s="38">
        <v>20</v>
      </c>
      <c r="G47" s="38">
        <v>10</v>
      </c>
      <c r="H47" s="39" t="s">
        <v>207</v>
      </c>
      <c r="I47" s="8" t="s">
        <v>243</v>
      </c>
    </row>
    <row r="48" spans="1:9" ht="24.4" customHeight="1">
      <c r="A48" s="37" t="s">
        <v>99</v>
      </c>
      <c r="B48" s="46" t="s">
        <v>158</v>
      </c>
      <c r="C48" s="38" t="s">
        <v>75</v>
      </c>
      <c r="D48" s="38" t="s">
        <v>73</v>
      </c>
      <c r="E48" s="38" t="s">
        <v>15</v>
      </c>
      <c r="F48" s="38">
        <v>20</v>
      </c>
      <c r="G48" s="38">
        <v>5</v>
      </c>
      <c r="H48" s="39" t="s">
        <v>208</v>
      </c>
    </row>
    <row r="49" spans="1:9" ht="24.4" customHeight="1">
      <c r="A49" s="37" t="s">
        <v>99</v>
      </c>
      <c r="B49" s="37" t="s">
        <v>213</v>
      </c>
      <c r="C49" s="38"/>
      <c r="D49" s="38" t="s">
        <v>73</v>
      </c>
      <c r="E49" s="38" t="s">
        <v>15</v>
      </c>
      <c r="F49" s="38">
        <v>20</v>
      </c>
      <c r="G49" s="38">
        <v>5</v>
      </c>
      <c r="H49" s="39">
        <v>2026</v>
      </c>
      <c r="I49" t="s">
        <v>245</v>
      </c>
    </row>
    <row r="50" spans="1:9" ht="16.899999999999999" customHeight="1">
      <c r="A50" s="40" t="s">
        <v>99</v>
      </c>
      <c r="B50" s="40" t="s">
        <v>215</v>
      </c>
      <c r="C50" s="41" t="s">
        <v>76</v>
      </c>
      <c r="D50" s="41" t="s">
        <v>77</v>
      </c>
      <c r="E50" s="41" t="s">
        <v>15</v>
      </c>
      <c r="F50" s="41">
        <v>20</v>
      </c>
      <c r="G50" s="41">
        <v>5</v>
      </c>
      <c r="H50" s="42" t="s">
        <v>209</v>
      </c>
    </row>
    <row r="51" spans="1:9" ht="24.4" customHeight="1">
      <c r="I51" t="s">
        <v>246</v>
      </c>
    </row>
    <row r="52" spans="1:9" ht="24.4" customHeight="1">
      <c r="I52" t="s">
        <v>249</v>
      </c>
    </row>
  </sheetData>
  <autoFilter ref="A1:H52" xr:uid="{835F1EA2-02B5-4727-8722-63F5F85D9E4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90C9-D48A-4074-8785-BE64FFC38B90}">
  <dimension ref="A1:A22"/>
  <sheetViews>
    <sheetView workbookViewId="0">
      <selection activeCell="A2" sqref="A2:A20"/>
    </sheetView>
  </sheetViews>
  <sheetFormatPr baseColWidth="10" defaultRowHeight="13.9"/>
  <cols>
    <col min="1" max="1" width="196.3125" bestFit="1" customWidth="1"/>
  </cols>
  <sheetData>
    <row r="1" spans="1:1">
      <c r="A1" s="1" t="s">
        <v>62</v>
      </c>
    </row>
    <row r="2" spans="1:1">
      <c r="A2" s="2" t="s">
        <v>90</v>
      </c>
    </row>
    <row r="3" spans="1:1">
      <c r="A3" s="2" t="s">
        <v>91</v>
      </c>
    </row>
    <row r="4" spans="1:1">
      <c r="A4" s="2" t="s">
        <v>92</v>
      </c>
    </row>
    <row r="5" spans="1:1">
      <c r="A5" s="2" t="s">
        <v>109</v>
      </c>
    </row>
    <row r="6" spans="1:1">
      <c r="A6" s="2" t="s">
        <v>113</v>
      </c>
    </row>
    <row r="7" spans="1:1">
      <c r="A7" s="2" t="s">
        <v>117</v>
      </c>
    </row>
    <row r="8" spans="1:1">
      <c r="A8" s="2" t="s">
        <v>93</v>
      </c>
    </row>
    <row r="9" spans="1:1">
      <c r="A9" s="2" t="s">
        <v>121</v>
      </c>
    </row>
    <row r="10" spans="1:1">
      <c r="A10" s="2" t="s">
        <v>94</v>
      </c>
    </row>
    <row r="11" spans="1:1">
      <c r="A11" s="2" t="s">
        <v>126</v>
      </c>
    </row>
    <row r="12" spans="1:1">
      <c r="A12" s="2" t="s">
        <v>129</v>
      </c>
    </row>
    <row r="13" spans="1:1">
      <c r="A13" s="2" t="s">
        <v>133</v>
      </c>
    </row>
    <row r="14" spans="1:1">
      <c r="A14" s="2" t="s">
        <v>137</v>
      </c>
    </row>
    <row r="15" spans="1:1">
      <c r="A15" s="2" t="s">
        <v>95</v>
      </c>
    </row>
    <row r="16" spans="1:1">
      <c r="A16" s="2" t="s">
        <v>96</v>
      </c>
    </row>
    <row r="17" spans="1:1">
      <c r="A17" s="2" t="s">
        <v>145</v>
      </c>
    </row>
    <row r="18" spans="1:1">
      <c r="A18" s="2" t="s">
        <v>97</v>
      </c>
    </row>
    <row r="19" spans="1:1">
      <c r="A19" s="2" t="s">
        <v>98</v>
      </c>
    </row>
    <row r="20" spans="1:1">
      <c r="A20" s="2" t="s">
        <v>99</v>
      </c>
    </row>
    <row r="21" spans="1:1">
      <c r="A21" s="2" t="s">
        <v>206</v>
      </c>
    </row>
    <row r="22" spans="1:1">
      <c r="A22" s="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BBDD</vt:lpstr>
      <vt:lpstr>Hoja1</vt:lpstr>
      <vt:lpstr>PLAN </vt:lpstr>
      <vt:lpstr>CARACTERISTICAS</vt:lpstr>
      <vt:lpstr>Hoja2</vt:lpstr>
      <vt:lpstr>TD</vt:lpstr>
      <vt:lpstr>HORAS</vt:lpstr>
      <vt:lpstr>POA26</vt:lpstr>
      <vt:lpstr>METAS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Ortiz De Lejarazu</dc:creator>
  <cp:lastModifiedBy>Elena Ortiz De Lejarazu</cp:lastModifiedBy>
  <dcterms:created xsi:type="dcterms:W3CDTF">2025-10-09T06:51:02Z</dcterms:created>
  <dcterms:modified xsi:type="dcterms:W3CDTF">2026-05-12T12:07:06Z</dcterms:modified>
</cp:coreProperties>
</file>